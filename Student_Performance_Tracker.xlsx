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udent Data" sheetId="2" state="visible" r:id="rId4"/>
    <sheet name="Student Report" sheetId="3" state="visible" r:id="rId5"/>
  </sheets>
  <definedNames>
    <definedName function="false" hidden="true" localSheetId="1" name="_xlnm._FilterDatabase" vbProcedure="false">'Student Data'!$A$1:$O$31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<sst xmlns="http://schemas.openxmlformats.org/spreadsheetml/2006/main" count="175" uniqueCount="92">
  <si>
    <t xml:space="preserve">Student Performance Dashboard</t>
  </si>
  <si>
    <t xml:space="preserve">Live MIS summary: updates automatically from the Student Data sheet</t>
  </si>
  <si>
    <t xml:space="preserve">Total Students</t>
  </si>
  <si>
    <t xml:space="preserve">Passed</t>
  </si>
  <si>
    <t xml:space="preserve">Pass %</t>
  </si>
  <si>
    <t xml:space="preserve">Class Average %</t>
  </si>
  <si>
    <t xml:space="preserve">Highest %</t>
  </si>
  <si>
    <t xml:space="preserve">Lowest %</t>
  </si>
  <si>
    <t xml:space="preserve">Subject-wise Performance</t>
  </si>
  <si>
    <t xml:space="preserve">Subject</t>
  </si>
  <si>
    <t xml:space="preserve">Average</t>
  </si>
  <si>
    <t xml:space="preserve">Highest</t>
  </si>
  <si>
    <t xml:space="preserve">Lowest</t>
  </si>
  <si>
    <t xml:space="preserve">Grade Distribution</t>
  </si>
  <si>
    <t xml:space="preserve">Grade</t>
  </si>
  <si>
    <t xml:space="preserve">Students</t>
  </si>
  <si>
    <t xml:space="preserve">% of Class</t>
  </si>
  <si>
    <t xml:space="preserve">Section-wise Summary</t>
  </si>
  <si>
    <t xml:space="preserve">Section</t>
  </si>
  <si>
    <t xml:space="preserve">Average %</t>
  </si>
  <si>
    <t xml:space="preserve">A</t>
  </si>
  <si>
    <t xml:space="preserve">B</t>
  </si>
  <si>
    <t xml:space="preserve">C</t>
  </si>
  <si>
    <t xml:space="preserve">Top 5 Performers</t>
  </si>
  <si>
    <t xml:space="preserve">Rank</t>
  </si>
  <si>
    <t xml:space="preserve">Student</t>
  </si>
  <si>
    <t xml:space="preserve">Total</t>
  </si>
  <si>
    <t xml:space="preserve">Percentage</t>
  </si>
  <si>
    <t xml:space="preserve">Roll No</t>
  </si>
  <si>
    <t xml:space="preserve">Student Name</t>
  </si>
  <si>
    <t xml:space="preserve">Gender</t>
  </si>
  <si>
    <t xml:space="preserve">English</t>
  </si>
  <si>
    <t xml:space="preserve">Hindi</t>
  </si>
  <si>
    <t xml:space="preserve">Mathematics</t>
  </si>
  <si>
    <t xml:space="preserve">Science</t>
  </si>
  <si>
    <t xml:space="preserve">Social Science</t>
  </si>
  <si>
    <t xml:space="preserve">Result</t>
  </si>
  <si>
    <t xml:space="preserve">Remarks</t>
  </si>
  <si>
    <t xml:space="preserve">Settings (edit blue cells)</t>
  </si>
  <si>
    <t xml:space="preserve">Aarav Sharma</t>
  </si>
  <si>
    <t xml:space="preserve">M</t>
  </si>
  <si>
    <t xml:space="preserve">Max marks per subject</t>
  </si>
  <si>
    <t xml:space="preserve">Ananya Verma</t>
  </si>
  <si>
    <t xml:space="preserve">F</t>
  </si>
  <si>
    <t xml:space="preserve">Pass marks per subject</t>
  </si>
  <si>
    <t xml:space="preserve">Rohan Gupta</t>
  </si>
  <si>
    <t xml:space="preserve">Priya Singh</t>
  </si>
  <si>
    <t xml:space="preserve">Min %</t>
  </si>
  <si>
    <t xml:space="preserve">Vikram Yadav</t>
  </si>
  <si>
    <t xml:space="preserve">Poor</t>
  </si>
  <si>
    <t xml:space="preserve">Neha Kumari</t>
  </si>
  <si>
    <t xml:space="preserve">D</t>
  </si>
  <si>
    <t xml:space="preserve">Needs Improvement</t>
  </si>
  <si>
    <t xml:space="preserve">Aditya Mishra</t>
  </si>
  <si>
    <t xml:space="preserve">Sneha Joshi</t>
  </si>
  <si>
    <t xml:space="preserve">Good</t>
  </si>
  <si>
    <t xml:space="preserve">Karan Malhotra</t>
  </si>
  <si>
    <t xml:space="preserve">Very Good</t>
  </si>
  <si>
    <t xml:space="preserve">Pooja Rawat</t>
  </si>
  <si>
    <t xml:space="preserve">A+</t>
  </si>
  <si>
    <t xml:space="preserve">Outstanding</t>
  </si>
  <si>
    <t xml:space="preserve">Rahul Tiwari</t>
  </si>
  <si>
    <t xml:space="preserve">Keep Min % in ascending order. Student fails if any subject is below pass marks.</t>
  </si>
  <si>
    <t xml:space="preserve">Simran Kaur</t>
  </si>
  <si>
    <t xml:space="preserve">Arjun Chauhan</t>
  </si>
  <si>
    <t xml:space="preserve">Kavita Pandey</t>
  </si>
  <si>
    <t xml:space="preserve">Manish Saini</t>
  </si>
  <si>
    <t xml:space="preserve">Riya Agarwal</t>
  </si>
  <si>
    <t xml:space="preserve">Deepak Kumar</t>
  </si>
  <si>
    <t xml:space="preserve">Anjali Mehta</t>
  </si>
  <si>
    <t xml:space="preserve">Sahil Khan</t>
  </si>
  <si>
    <t xml:space="preserve">Meera Nair</t>
  </si>
  <si>
    <t xml:space="preserve">Nikhil Bansal</t>
  </si>
  <si>
    <t xml:space="preserve">Isha Kapoor</t>
  </si>
  <si>
    <t xml:space="preserve">Harsh Dubey</t>
  </si>
  <si>
    <t xml:space="preserve">Divya Chopra</t>
  </si>
  <si>
    <t xml:space="preserve">Yash Rathore</t>
  </si>
  <si>
    <t xml:space="preserve">Tanvi Arora</t>
  </si>
  <si>
    <t xml:space="preserve">Mohit Jain</t>
  </si>
  <si>
    <t xml:space="preserve">Shruti Bhatt</t>
  </si>
  <si>
    <t xml:space="preserve">Gaurav Solanki</t>
  </si>
  <si>
    <t xml:space="preserve">Nisha Thakur</t>
  </si>
  <si>
    <t xml:space="preserve">Blue = input data (sample/dummy). Black = formulas. Red marks = below pass marks (see settings on the right).</t>
  </si>
  <si>
    <t xml:space="preserve">Individual Student Report Card</t>
  </si>
  <si>
    <t xml:space="preserve">Select Roll No</t>
  </si>
  <si>
    <t xml:space="preserve">Pick from the dropdown</t>
  </si>
  <si>
    <t xml:space="preserve">Marks Obtained</t>
  </si>
  <si>
    <t xml:space="preserve">Class Average</t>
  </si>
  <si>
    <t xml:space="preserve">Difference vs Avg</t>
  </si>
  <si>
    <t xml:space="preserve">Status</t>
  </si>
  <si>
    <t xml:space="preserve">Total Marks</t>
  </si>
  <si>
    <t xml:space="preserve">Class Rank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</si>
</sst>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%"/>
    <numFmt numFmtId="167" formatCode="0.0"/>
    <numFmt numFmtId="168" formatCode="General"/>
    <numFmt numFmtId="169" formatCode="0%"/>
    <numFmt numFmtId="170" formatCode="\+0.0;\-0.0;0.0"/>
    <numFmt numFmtId="171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Marks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Dashboard!B7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Dashboard!$A$8:$A$12</c:f>
              <c:strCache>
                <c:ptCount val="5"/>
                <c:pt idx="0">
                  <c:v>English</c:v>
                </c:pt>
                <c:pt idx="1">
                  <c:v>Hindi</c:v>
                </c:pt>
                <c:pt idx="2">
                  <c:v>Mathematics</c:v>
                </c:pt>
                <c:pt idx="3">
                  <c:v>Science</c:v>
                </c:pt>
                <c:pt idx="4">
                  <c:v>Social Science</c:v>
                </c:pt>
              </c:strCache>
            </c:strRef>
          </c:cat>
          <c:val>
            <c:numRef>
              <c:f>Dashboard!$B$8:$B$12</c:f>
              <c:numCache>
                <c:formatCode>0.0</c:formatCode>
                <c:ptCount val="5"/>
                <c:pt idx="0">
                  <c:v>70.2333333333333</c:v>
                </c:pt>
                <c:pt idx="1">
                  <c:v>71.1666666666667</c:v>
                </c:pt>
                <c:pt idx="2">
                  <c:v>70.8</c:v>
                </c:pt>
                <c:pt idx="3">
                  <c:v>72.9333333333333</c:v>
                </c:pt>
                <c:pt idx="4">
                  <c:v>75.0666666666667</c:v>
                </c:pt>
              </c:numCache>
            </c:numRef>
          </c:val>
        </c:ser>
        <c:gapWidth val="150"/>
        <c:overlap val="0"/>
        <c:axId val="73758342"/>
        <c:axId val="65189234"/>
      </c:barChart>
      <c:catAx>
        <c:axId val="73758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89234"/>
        <c:crosses val="autoZero"/>
        <c:auto val="1"/>
        <c:lblAlgn val="ctr"/>
        <c:lblOffset val="100"/>
        <c:noMultiLvlLbl val="0"/>
      </c:catAx>
      <c:valAx>
        <c:axId val="651892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583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Dashboard!B16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Dashboard!$A$17:$A$22</c:f>
              <c:strCache>
                <c:ptCount val="6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Dashboard!$B$17:$B$22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18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92786763"/>
        <c:axId val="41635531"/>
      </c:barChart>
      <c:catAx>
        <c:axId val="927867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35531"/>
        <c:crosses val="autoZero"/>
        <c:auto val="1"/>
        <c:lblAlgn val="ctr"/>
        <c:lblOffset val="100"/>
        <c:noMultiLvlLbl val="0"/>
      </c:catAx>
      <c:valAx>
        <c:axId val="416355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867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%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Dashboard!C26</c:f>
              <c:strCache>
                <c:ptCount val="1"/>
                <c:pt idx="0">
                  <c:v>Average %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Dashboard!$A$27:$A$29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Dashboard!$C$27:$C$29</c:f>
              <c:numCache>
                <c:formatCode>0.0%</c:formatCode>
                <c:ptCount val="3"/>
                <c:pt idx="0">
                  <c:v>0.6898</c:v>
                </c:pt>
                <c:pt idx="1">
                  <c:v>0.7942</c:v>
                </c:pt>
                <c:pt idx="2">
                  <c:v>0.6772</c:v>
                </c:pt>
              </c:numCache>
            </c:numRef>
          </c:val>
        </c:ser>
        <c:gapWidth val="150"/>
        <c:overlap val="0"/>
        <c:axId val="22966031"/>
        <c:axId val="97071515"/>
      </c:barChart>
      <c:catAx>
        <c:axId val="2296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71515"/>
        <c:crosses val="autoZero"/>
        <c:auto val="1"/>
        <c:lblAlgn val="ctr"/>
        <c:lblOffset val="100"/>
        <c:noMultiLvlLbl val="0"/>
      </c:catAx>
      <c:valAx>
        <c:axId val="970715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660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100800</xdr:rowOff>
    </xdr:from>
    <xdr:to>
      <xdr:col>15</xdr:col>
      <xdr:colOff>507600</xdr:colOff>
      <xdr:row>14</xdr:row>
      <xdr:rowOff>85680</xdr:rowOff>
    </xdr:to>
    <xdr:graphicFrame>
      <xdr:nvGraphicFramePr>
        <xdr:cNvPr id="0" name="Chart 1"/>
        <xdr:cNvGraphicFramePr/>
      </xdr:nvGraphicFramePr>
      <xdr:xfrm>
        <a:off x="794196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100800</xdr:rowOff>
    </xdr:from>
    <xdr:to>
      <xdr:col>15</xdr:col>
      <xdr:colOff>507600</xdr:colOff>
      <xdr:row>31</xdr:row>
      <xdr:rowOff>133560</xdr:rowOff>
    </xdr:to>
    <xdr:graphicFrame>
      <xdr:nvGraphicFramePr>
        <xdr:cNvPr id="1" name="Chart 2"/>
        <xdr:cNvGraphicFramePr/>
      </xdr:nvGraphicFramePr>
      <xdr:xfrm>
        <a:off x="7941960" y="36669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100800</xdr:rowOff>
    </xdr:from>
    <xdr:to>
      <xdr:col>15</xdr:col>
      <xdr:colOff>507600</xdr:colOff>
      <xdr:row>47</xdr:row>
      <xdr:rowOff>133560</xdr:rowOff>
    </xdr:to>
    <xdr:graphicFrame>
      <xdr:nvGraphicFramePr>
        <xdr:cNvPr id="2" name="Chart 3"/>
        <xdr:cNvGraphicFramePr/>
      </xdr:nvGraphicFramePr>
      <xdr:xfrm>
        <a:off x="7941960" y="67150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33.75" hidden="false" customHeight="true" outlineLevel="0" collapsed="false">
      <c r="A4" s="4" t="n">
        <f aca="false">COUNTA('Student Data'!A2:A31)</f>
        <v>30</v>
      </c>
      <c r="B4" s="4" t="n">
        <f aca="false">COUNTIF('Student Data'!M2:M31,"Pass")</f>
        <v>29</v>
      </c>
      <c r="C4" s="5" t="n">
        <f aca="false">IF(A4=0,0,B4/A4)</f>
        <v>0.966666666666667</v>
      </c>
      <c r="D4" s="5" t="n">
        <f aca="false">AVERAGE('Student Data'!K2:K31)</f>
        <v>0.7204</v>
      </c>
      <c r="E4" s="5" t="n">
        <f aca="false">MAX('Student Data'!K2:K31)</f>
        <v>0.956</v>
      </c>
      <c r="F4" s="5" t="n">
        <f aca="false">MIN('Student Data'!K2:K31)</f>
        <v>0.37</v>
      </c>
    </row>
    <row r="6" customFormat="false" ht="15" hidden="false" customHeight="false" outlineLevel="0" collapsed="false">
      <c r="A6" s="6" t="s">
        <v>8</v>
      </c>
    </row>
    <row r="7" customFormat="false" ht="15" hidden="false" customHeight="false" outlineLevel="0" collapsed="false">
      <c r="A7" s="7" t="s">
        <v>9</v>
      </c>
      <c r="B7" s="7" t="s">
        <v>10</v>
      </c>
      <c r="C7" s="7" t="s">
        <v>11</v>
      </c>
      <c r="D7" s="7" t="s">
        <v>12</v>
      </c>
      <c r="E7" s="7" t="s">
        <v>4</v>
      </c>
    </row>
    <row r="8" customFormat="false" ht="15" hidden="false" customHeight="false" outlineLevel="0" collapsed="false">
      <c r="A8" s="8" t="str">
        <f aca="false">'Student Data'!E1</f>
        <v>English</v>
      </c>
      <c r="B8" s="9" t="n">
        <f aca="false">AVERAGE('Student Data'!E2:E31)</f>
        <v>70.2333333333333</v>
      </c>
      <c r="C8" s="10" t="n">
        <f aca="false">MAX('Student Data'!E2:E31)</f>
        <v>99</v>
      </c>
      <c r="D8" s="10" t="n">
        <f aca="false">MIN('Student Data'!E2:E31)</f>
        <v>43</v>
      </c>
      <c r="E8" s="11" t="n">
        <f aca="false">COUNTIF('Student Data'!E2:E31,"&gt;="&amp;'Student Data'!$R$3)/$A$4</f>
        <v>1</v>
      </c>
    </row>
    <row r="9" customFormat="false" ht="15" hidden="false" customHeight="false" outlineLevel="0" collapsed="false">
      <c r="A9" s="8" t="str">
        <f aca="false">'Student Data'!F1</f>
        <v>Hindi</v>
      </c>
      <c r="B9" s="9" t="n">
        <f aca="false">AVERAGE('Student Data'!F2:F31)</f>
        <v>71.1666666666667</v>
      </c>
      <c r="C9" s="10" t="n">
        <f aca="false">MAX('Student Data'!F2:F31)</f>
        <v>99</v>
      </c>
      <c r="D9" s="10" t="n">
        <f aca="false">MIN('Student Data'!F2:F31)</f>
        <v>42</v>
      </c>
      <c r="E9" s="11" t="n">
        <f aca="false">COUNTIF('Student Data'!F2:F31,"&gt;="&amp;'Student Data'!$R$3)/$A$4</f>
        <v>1</v>
      </c>
    </row>
    <row r="10" customFormat="false" ht="15" hidden="false" customHeight="false" outlineLevel="0" collapsed="false">
      <c r="A10" s="8" t="str">
        <f aca="false">'Student Data'!G1</f>
        <v>Mathematics</v>
      </c>
      <c r="B10" s="9" t="n">
        <f aca="false">AVERAGE('Student Data'!G2:G31)</f>
        <v>70.8</v>
      </c>
      <c r="C10" s="10" t="n">
        <f aca="false">MAX('Student Data'!G2:G31)</f>
        <v>99</v>
      </c>
      <c r="D10" s="10" t="n">
        <f aca="false">MIN('Student Data'!G2:G31)</f>
        <v>32</v>
      </c>
      <c r="E10" s="11" t="n">
        <f aca="false">COUNTIF('Student Data'!G2:G31,"&gt;="&amp;'Student Data'!$R$3)/$A$4</f>
        <v>0.966666666666667</v>
      </c>
    </row>
    <row r="11" customFormat="false" ht="15" hidden="false" customHeight="false" outlineLevel="0" collapsed="false">
      <c r="A11" s="8" t="str">
        <f aca="false">'Student Data'!H1</f>
        <v>Science</v>
      </c>
      <c r="B11" s="9" t="n">
        <f aca="false">AVERAGE('Student Data'!H2:H31)</f>
        <v>72.9333333333333</v>
      </c>
      <c r="C11" s="10" t="n">
        <f aca="false">MAX('Student Data'!H2:H31)</f>
        <v>99</v>
      </c>
      <c r="D11" s="10" t="n">
        <f aca="false">MIN('Student Data'!H2:H31)</f>
        <v>31</v>
      </c>
      <c r="E11" s="11" t="n">
        <f aca="false">COUNTIF('Student Data'!H2:H31,"&gt;="&amp;'Student Data'!$R$3)/$A$4</f>
        <v>0.966666666666667</v>
      </c>
    </row>
    <row r="12" customFormat="false" ht="15" hidden="false" customHeight="false" outlineLevel="0" collapsed="false">
      <c r="A12" s="8" t="str">
        <f aca="false">'Student Data'!I1</f>
        <v>Social Science</v>
      </c>
      <c r="B12" s="9" t="n">
        <f aca="false">AVERAGE('Student Data'!I2:I31)</f>
        <v>75.0666666666667</v>
      </c>
      <c r="C12" s="10" t="n">
        <f aca="false">MAX('Student Data'!I2:I31)</f>
        <v>99</v>
      </c>
      <c r="D12" s="10" t="n">
        <f aca="false">MIN('Student Data'!I2:I31)</f>
        <v>37</v>
      </c>
      <c r="E12" s="11" t="n">
        <f aca="false">COUNTIF('Student Data'!I2:I31,"&gt;="&amp;'Student Data'!$R$3)/$A$4</f>
        <v>1</v>
      </c>
    </row>
    <row r="15" customFormat="false" ht="15" hidden="false" customHeight="false" outlineLevel="0" collapsed="false">
      <c r="A15" s="6" t="s">
        <v>13</v>
      </c>
    </row>
    <row r="16" customFormat="false" ht="15" hidden="false" customHeight="false" outlineLevel="0" collapsed="false">
      <c r="A16" s="7" t="s">
        <v>14</v>
      </c>
      <c r="B16" s="7" t="s">
        <v>15</v>
      </c>
      <c r="C16" s="7" t="s">
        <v>16</v>
      </c>
    </row>
    <row r="17" customFormat="false" ht="15" hidden="false" customHeight="false" outlineLevel="0" collapsed="false">
      <c r="A17" s="10" t="str">
        <f aca="false">'Student Data'!$R$11</f>
        <v>A+</v>
      </c>
      <c r="B17" s="10" t="n">
        <f aca="false">COUNTIF('Student Data'!$L$2:$L$31,A17)</f>
        <v>2</v>
      </c>
      <c r="C17" s="11" t="n">
        <f aca="false">IF($A$4=0,0,B17/$A$4)</f>
        <v>0.0666666666666667</v>
      </c>
    </row>
    <row r="18" customFormat="false" ht="15" hidden="false" customHeight="false" outlineLevel="0" collapsed="false">
      <c r="A18" s="10" t="str">
        <f aca="false">'Student Data'!$R$10</f>
        <v>A</v>
      </c>
      <c r="B18" s="10" t="n">
        <f aca="false">COUNTIF('Student Data'!$L$2:$L$31,A18)</f>
        <v>8</v>
      </c>
      <c r="C18" s="11" t="n">
        <f aca="false">IF($A$4=0,0,B18/$A$4)</f>
        <v>0.266666666666667</v>
      </c>
    </row>
    <row r="19" customFormat="false" ht="15" hidden="false" customHeight="false" outlineLevel="0" collapsed="false">
      <c r="A19" s="10" t="str">
        <f aca="false">'Student Data'!$R$9</f>
        <v>B</v>
      </c>
      <c r="B19" s="10" t="n">
        <f aca="false">COUNTIF('Student Data'!$L$2:$L$31,A19)</f>
        <v>18</v>
      </c>
      <c r="C19" s="11" t="n">
        <f aca="false">IF($A$4=0,0,B19/$A$4)</f>
        <v>0.6</v>
      </c>
    </row>
    <row r="20" customFormat="false" ht="15" hidden="false" customHeight="false" outlineLevel="0" collapsed="false">
      <c r="A20" s="10" t="str">
        <f aca="false">'Student Data'!$R$8</f>
        <v>C</v>
      </c>
      <c r="B20" s="10" t="n">
        <f aca="false">COUNTIF('Student Data'!$L$2:$L$31,A20)</f>
        <v>1</v>
      </c>
      <c r="C20" s="11" t="n">
        <f aca="false">IF($A$4=0,0,B20/$A$4)</f>
        <v>0.0333333333333333</v>
      </c>
    </row>
    <row r="21" customFormat="false" ht="15" hidden="false" customHeight="false" outlineLevel="0" collapsed="false">
      <c r="A21" s="10" t="str">
        <f aca="false">'Student Data'!$R$7</f>
        <v>D</v>
      </c>
      <c r="B21" s="10" t="n">
        <f aca="false">COUNTIF('Student Data'!$L$2:$L$31,A21)</f>
        <v>0</v>
      </c>
      <c r="C21" s="11" t="n">
        <f aca="false">IF($A$4=0,0,B21/$A$4)</f>
        <v>0</v>
      </c>
    </row>
    <row r="22" customFormat="false" ht="15" hidden="false" customHeight="false" outlineLevel="0" collapsed="false">
      <c r="A22" s="10" t="str">
        <f aca="false">'Student Data'!$R$6</f>
        <v>F</v>
      </c>
      <c r="B22" s="10" t="n">
        <f aca="false">COUNTIF('Student Data'!$L$2:$L$31,A22)</f>
        <v>1</v>
      </c>
      <c r="C22" s="11" t="n">
        <f aca="false">IF($A$4=0,0,B22/$A$4)</f>
        <v>0.0333333333333333</v>
      </c>
    </row>
    <row r="25" customFormat="false" ht="15" hidden="false" customHeight="false" outlineLevel="0" collapsed="false">
      <c r="A25" s="6" t="s">
        <v>17</v>
      </c>
    </row>
    <row r="26" customFormat="false" ht="15" hidden="false" customHeight="false" outlineLevel="0" collapsed="false">
      <c r="A26" s="7" t="s">
        <v>18</v>
      </c>
      <c r="B26" s="7" t="s">
        <v>15</v>
      </c>
      <c r="C26" s="7" t="s">
        <v>19</v>
      </c>
      <c r="D26" s="7" t="s">
        <v>4</v>
      </c>
    </row>
    <row r="27" customFormat="false" ht="15" hidden="false" customHeight="false" outlineLevel="0" collapsed="false">
      <c r="A27" s="10" t="s">
        <v>20</v>
      </c>
      <c r="B27" s="10" t="n">
        <f aca="false">COUNTIF('Student Data'!$C$2:$C$31,A27)</f>
        <v>10</v>
      </c>
      <c r="C27" s="11" t="n">
        <f aca="false">IFERROR(AVERAGEIF('Student Data'!$C$2:$C$31,A27,'Student Data'!$K$2:$K$31),0)</f>
        <v>0.6898</v>
      </c>
      <c r="D27" s="11" t="n">
        <f aca="false">IF(B27=0,0,COUNTIFS('Student Data'!$C$2:$C$31,A27,'Student Data'!$M$2:$M$31,"Pass")/B27)</f>
        <v>0.9</v>
      </c>
    </row>
    <row r="28" customFormat="false" ht="15" hidden="false" customHeight="false" outlineLevel="0" collapsed="false">
      <c r="A28" s="10" t="s">
        <v>21</v>
      </c>
      <c r="B28" s="10" t="n">
        <f aca="false">COUNTIF('Student Data'!$C$2:$C$31,A28)</f>
        <v>10</v>
      </c>
      <c r="C28" s="11" t="n">
        <f aca="false">IFERROR(AVERAGEIF('Student Data'!$C$2:$C$31,A28,'Student Data'!$K$2:$K$31),0)</f>
        <v>0.7942</v>
      </c>
      <c r="D28" s="11" t="n">
        <f aca="false">IF(B28=0,0,COUNTIFS('Student Data'!$C$2:$C$31,A28,'Student Data'!$M$2:$M$31,"Pass")/B28)</f>
        <v>1</v>
      </c>
    </row>
    <row r="29" customFormat="false" ht="15" hidden="false" customHeight="false" outlineLevel="0" collapsed="false">
      <c r="A29" s="10" t="s">
        <v>22</v>
      </c>
      <c r="B29" s="10" t="n">
        <f aca="false">COUNTIF('Student Data'!$C$2:$C$31,A29)</f>
        <v>10</v>
      </c>
      <c r="C29" s="11" t="n">
        <f aca="false">IFERROR(AVERAGEIF('Student Data'!$C$2:$C$31,A29,'Student Data'!$K$2:$K$31),0)</f>
        <v>0.6772</v>
      </c>
      <c r="D29" s="11" t="n">
        <f aca="false">IF(B29=0,0,COUNTIFS('Student Data'!$C$2:$C$31,A29,'Student Data'!$M$2:$M$31,"Pass")/B29)</f>
        <v>1</v>
      </c>
    </row>
    <row r="32" customFormat="false" ht="15" hidden="false" customHeight="false" outlineLevel="0" collapsed="false">
      <c r="A32" s="6" t="s">
        <v>23</v>
      </c>
    </row>
    <row r="33" customFormat="false" ht="15" hidden="false" customHeight="false" outlineLevel="0" collapsed="false">
      <c r="A33" s="7" t="s">
        <v>24</v>
      </c>
      <c r="B33" s="7" t="s">
        <v>25</v>
      </c>
      <c r="C33" s="7" t="s">
        <v>18</v>
      </c>
      <c r="D33" s="7" t="s">
        <v>26</v>
      </c>
      <c r="E33" s="7" t="s">
        <v>27</v>
      </c>
      <c r="F33" s="7" t="s">
        <v>14</v>
      </c>
    </row>
    <row r="34" customFormat="false" ht="15" hidden="false" customHeight="false" outlineLevel="0" collapsed="false">
      <c r="A34" s="10" t="n">
        <v>1</v>
      </c>
      <c r="B34" s="8" t="str">
        <f aca="false">INDEX('Student Data'!$B$2:$B$31,MATCH($A34,'Student Data'!$N$2:$N$31,0))</f>
        <v>Isha Kapoor</v>
      </c>
      <c r="C34" s="10" t="str">
        <f aca="false">INDEX('Student Data'!$C$2:$C$31,MATCH($A34,'Student Data'!$N$2:$N$31,0))</f>
        <v>A</v>
      </c>
      <c r="D34" s="10" t="n">
        <f aca="false">INDEX('Student Data'!$J$2:$J$31,MATCH($A34,'Student Data'!$N$2:$N$31,0))</f>
        <v>478</v>
      </c>
      <c r="E34" s="11" t="n">
        <f aca="false">INDEX('Student Data'!$K$2:$K$31,MATCH($A34,'Student Data'!$N$2:$N$31,0))</f>
        <v>0.956</v>
      </c>
      <c r="F34" s="10" t="str">
        <f aca="false">INDEX('Student Data'!$L$2:$L$31,MATCH($A34,'Student Data'!$N$2:$N$31,0))</f>
        <v>A+</v>
      </c>
    </row>
    <row r="35" customFormat="false" ht="15" hidden="false" customHeight="false" outlineLevel="0" collapsed="false">
      <c r="A35" s="10" t="n">
        <v>2</v>
      </c>
      <c r="B35" s="8" t="str">
        <f aca="false">INDEX('Student Data'!$B$2:$B$31,MATCH($A35,'Student Data'!$N$2:$N$31,0))</f>
        <v>Harsh Dubey</v>
      </c>
      <c r="C35" s="10" t="str">
        <f aca="false">INDEX('Student Data'!$C$2:$C$31,MATCH($A35,'Student Data'!$N$2:$N$31,0))</f>
        <v>B</v>
      </c>
      <c r="D35" s="10" t="n">
        <f aca="false">INDEX('Student Data'!$J$2:$J$31,MATCH($A35,'Student Data'!$N$2:$N$31,0))</f>
        <v>466</v>
      </c>
      <c r="E35" s="11" t="n">
        <f aca="false">INDEX('Student Data'!$K$2:$K$31,MATCH($A35,'Student Data'!$N$2:$N$31,0))</f>
        <v>0.932</v>
      </c>
      <c r="F35" s="10" t="str">
        <f aca="false">INDEX('Student Data'!$L$2:$L$31,MATCH($A35,'Student Data'!$N$2:$N$31,0))</f>
        <v>A+</v>
      </c>
    </row>
    <row r="36" customFormat="false" ht="15" hidden="false" customHeight="false" outlineLevel="0" collapsed="false">
      <c r="A36" s="10" t="n">
        <v>3</v>
      </c>
      <c r="B36" s="8" t="str">
        <f aca="false">INDEX('Student Data'!$B$2:$B$31,MATCH($A36,'Student Data'!$N$2:$N$31,0))</f>
        <v>Deepak Kumar</v>
      </c>
      <c r="C36" s="10" t="str">
        <f aca="false">INDEX('Student Data'!$C$2:$C$31,MATCH($A36,'Student Data'!$N$2:$N$31,0))</f>
        <v>B</v>
      </c>
      <c r="D36" s="10" t="n">
        <f aca="false">INDEX('Student Data'!$J$2:$J$31,MATCH($A36,'Student Data'!$N$2:$N$31,0))</f>
        <v>444</v>
      </c>
      <c r="E36" s="11" t="n">
        <f aca="false">INDEX('Student Data'!$K$2:$K$31,MATCH($A36,'Student Data'!$N$2:$N$31,0))</f>
        <v>0.888</v>
      </c>
      <c r="F36" s="10" t="str">
        <f aca="false">INDEX('Student Data'!$L$2:$L$31,MATCH($A36,'Student Data'!$N$2:$N$31,0))</f>
        <v>A</v>
      </c>
    </row>
    <row r="37" customFormat="false" ht="15" hidden="false" customHeight="false" outlineLevel="0" collapsed="false">
      <c r="A37" s="10" t="n">
        <v>4</v>
      </c>
      <c r="B37" s="8" t="str">
        <f aca="false">INDEX('Student Data'!$B$2:$B$31,MATCH($A37,'Student Data'!$N$2:$N$31,0))</f>
        <v>Meera Nair</v>
      </c>
      <c r="C37" s="10" t="str">
        <f aca="false">INDEX('Student Data'!$C$2:$C$31,MATCH($A37,'Student Data'!$N$2:$N$31,0))</f>
        <v>B</v>
      </c>
      <c r="D37" s="10" t="n">
        <f aca="false">INDEX('Student Data'!$J$2:$J$31,MATCH($A37,'Student Data'!$N$2:$N$31,0))</f>
        <v>438</v>
      </c>
      <c r="E37" s="11" t="n">
        <f aca="false">INDEX('Student Data'!$K$2:$K$31,MATCH($A37,'Student Data'!$N$2:$N$31,0))</f>
        <v>0.876</v>
      </c>
      <c r="F37" s="10" t="str">
        <f aca="false">INDEX('Student Data'!$L$2:$L$31,MATCH($A37,'Student Data'!$N$2:$N$31,0))</f>
        <v>A</v>
      </c>
    </row>
    <row r="38" customFormat="false" ht="15" hidden="false" customHeight="false" outlineLevel="0" collapsed="false">
      <c r="A38" s="10" t="n">
        <v>5</v>
      </c>
      <c r="B38" s="8" t="str">
        <f aca="false">INDEX('Student Data'!$B$2:$B$31,MATCH($A38,'Student Data'!$N$2:$N$31,0))</f>
        <v>Tanvi Arora</v>
      </c>
      <c r="C38" s="10" t="str">
        <f aca="false">INDEX('Student Data'!$C$2:$C$31,MATCH($A38,'Student Data'!$N$2:$N$31,0))</f>
        <v>B</v>
      </c>
      <c r="D38" s="10" t="n">
        <f aca="false">INDEX('Student Data'!$J$2:$J$31,MATCH($A38,'Student Data'!$N$2:$N$31,0))</f>
        <v>434</v>
      </c>
      <c r="E38" s="11" t="n">
        <f aca="false">INDEX('Student Data'!$K$2:$K$31,MATCH($A38,'Student Data'!$N$2:$N$31,0))</f>
        <v>0.868</v>
      </c>
      <c r="F38" s="10" t="str">
        <f aca="false">INDEX('Student Data'!$L$2:$L$31,MATCH($A38,'Student Data'!$N$2:$N$31,0))</f>
        <v>A</v>
      </c>
    </row>
  </sheetData>
  <mergeCells count="1">
    <mergeCell ref="A1:F1"/>
  </mergeCells>
  <conditionalFormatting sqref="E8:E12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{8ECFD136-96F0-465B-B646-EC4A106799B2}</x14:id>
        </ext>
      </extLst>
    </cfRule>
  </conditionalFormatting>
  <conditionalFormatting sqref="B8:B12">
    <cfRule type="colorScale" priority="3">
      <colorScale>
        <cfvo type="min" val="0"/>
        <cfvo type="max" val="0"/>
        <color rgb="FFF8CBAD"/>
        <color rgb="FFC6EFCE"/>
      </colorScale>
    </cfRule>
  </conditionalFormatting>
  <conditionalFormatting sqref="C27:C29">
    <cfRule type="colorScale" priority="4">
      <colorScale>
        <cfvo type="min" val="0"/>
        <cfvo type="max" val="0"/>
        <color rgb="FFF8CBAD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CFD136-96F0-465B-B646-EC4A106799B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E8:E12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9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20"/>
    <col collapsed="false" customWidth="true" hidden="false" outlineLevel="0" max="16" min="16" style="0" width="3"/>
    <col collapsed="false" customWidth="true" hidden="false" outlineLevel="0" max="17" min="17" style="0" width="24"/>
    <col collapsed="false" customWidth="true" hidden="false" outlineLevel="0" max="18" min="18" style="0" width="10"/>
    <col collapsed="false" customWidth="true" hidden="false" outlineLevel="0" max="19" min="19" style="0" width="20"/>
  </cols>
  <sheetData>
    <row r="1" customFormat="false" ht="31.5" hidden="false" customHeight="true" outlineLevel="0" collapsed="false">
      <c r="A1" s="7" t="s">
        <v>28</v>
      </c>
      <c r="B1" s="7" t="s">
        <v>29</v>
      </c>
      <c r="C1" s="7" t="s">
        <v>18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26</v>
      </c>
      <c r="K1" s="7" t="s">
        <v>27</v>
      </c>
      <c r="L1" s="7" t="s">
        <v>14</v>
      </c>
      <c r="M1" s="7" t="s">
        <v>36</v>
      </c>
      <c r="N1" s="7" t="s">
        <v>24</v>
      </c>
      <c r="O1" s="7" t="s">
        <v>37</v>
      </c>
      <c r="Q1" s="6" t="s">
        <v>38</v>
      </c>
    </row>
    <row r="2" customFormat="false" ht="15" hidden="false" customHeight="false" outlineLevel="0" collapsed="false">
      <c r="A2" s="12" t="n">
        <v>1001</v>
      </c>
      <c r="B2" s="13" t="s">
        <v>39</v>
      </c>
      <c r="C2" s="12" t="s">
        <v>20</v>
      </c>
      <c r="D2" s="12" t="s">
        <v>40</v>
      </c>
      <c r="E2" s="12" t="n">
        <v>64</v>
      </c>
      <c r="F2" s="12" t="n">
        <v>65</v>
      </c>
      <c r="G2" s="12" t="n">
        <v>72</v>
      </c>
      <c r="H2" s="12" t="n">
        <v>64</v>
      </c>
      <c r="I2" s="12" t="n">
        <v>52</v>
      </c>
      <c r="J2" s="10" t="n">
        <f aca="false">SUM(E2:I2)</f>
        <v>317</v>
      </c>
      <c r="K2" s="11" t="n">
        <f aca="false">IF(COUNT(E2:I2)=0,0,J2/(COUNT(E2:I2)*'Student Data'!$R$2))</f>
        <v>0.634</v>
      </c>
      <c r="L2" s="14" t="str">
        <f aca="false">IF(M2="Fail","F",INDEX('Student Data'!$R$6:$R$11,MATCH(K2*100,'Student Data'!$Q$6:$Q$11,1)))</f>
        <v>B</v>
      </c>
      <c r="M2" s="14" t="str">
        <f aca="false">IF(COUNTIF(E2:I2,"&lt;"&amp;'Student Data'!$R$3)&gt;0,"Fail","Pass")</f>
        <v>Pass</v>
      </c>
      <c r="N2" s="10" t="n">
        <f aca="false">RANK(K2,$K$2:$K$31)+COUNTIF($K$2:K2,K2)-1</f>
        <v>25</v>
      </c>
      <c r="O2" s="15" t="str">
        <f aca="false">IF(M2="Fail","Needs Improvement",INDEX('Student Data'!$S$6:$S$11,MATCH(K2*100,'Student Data'!$Q$6:$Q$11,1)))</f>
        <v>Good</v>
      </c>
      <c r="Q2" s="16" t="s">
        <v>41</v>
      </c>
      <c r="R2" s="17" t="n">
        <v>100</v>
      </c>
    </row>
    <row r="3" customFormat="false" ht="15" hidden="false" customHeight="false" outlineLevel="0" collapsed="false">
      <c r="A3" s="12" t="n">
        <v>1002</v>
      </c>
      <c r="B3" s="13" t="s">
        <v>42</v>
      </c>
      <c r="C3" s="12" t="s">
        <v>21</v>
      </c>
      <c r="D3" s="12" t="s">
        <v>43</v>
      </c>
      <c r="E3" s="12" t="n">
        <v>69</v>
      </c>
      <c r="F3" s="12" t="n">
        <v>70</v>
      </c>
      <c r="G3" s="12" t="n">
        <v>73</v>
      </c>
      <c r="H3" s="12" t="n">
        <v>74</v>
      </c>
      <c r="I3" s="12" t="n">
        <v>82</v>
      </c>
      <c r="J3" s="10" t="n">
        <f aca="false">SUM(E3:I3)</f>
        <v>368</v>
      </c>
      <c r="K3" s="11" t="n">
        <f aca="false">IF(COUNT(E3:I3)=0,0,J3/(COUNT(E3:I3)*'Student Data'!$R$2))</f>
        <v>0.736</v>
      </c>
      <c r="L3" s="14" t="str">
        <f aca="false">IF(M3="Fail","F",INDEX('Student Data'!$R$6:$R$11,MATCH(K3*100,'Student Data'!$Q$6:$Q$11,1)))</f>
        <v>B</v>
      </c>
      <c r="M3" s="14" t="str">
        <f aca="false">IF(COUNTIF(E3:I3,"&lt;"&amp;'Student Data'!$R$3)&gt;0,"Fail","Pass")</f>
        <v>Pass</v>
      </c>
      <c r="N3" s="10" t="n">
        <f aca="false">RANK(K3,$K$2:$K$31)+COUNTIF($K$2:K3,K3)-1</f>
        <v>13</v>
      </c>
      <c r="O3" s="15" t="str">
        <f aca="false">IF(M3="Fail","Needs Improvement",INDEX('Student Data'!$S$6:$S$11,MATCH(K3*100,'Student Data'!$Q$6:$Q$11,1)))</f>
        <v>Good</v>
      </c>
      <c r="Q3" s="16" t="s">
        <v>44</v>
      </c>
      <c r="R3" s="17" t="n">
        <v>33</v>
      </c>
    </row>
    <row r="4" customFormat="false" ht="15" hidden="false" customHeight="false" outlineLevel="0" collapsed="false">
      <c r="A4" s="12" t="n">
        <v>1003</v>
      </c>
      <c r="B4" s="13" t="s">
        <v>45</v>
      </c>
      <c r="C4" s="12" t="s">
        <v>22</v>
      </c>
      <c r="D4" s="12" t="s">
        <v>40</v>
      </c>
      <c r="E4" s="12" t="n">
        <v>77</v>
      </c>
      <c r="F4" s="12" t="n">
        <v>69</v>
      </c>
      <c r="G4" s="12" t="n">
        <v>67</v>
      </c>
      <c r="H4" s="12" t="n">
        <v>78</v>
      </c>
      <c r="I4" s="12" t="n">
        <v>88</v>
      </c>
      <c r="J4" s="10" t="n">
        <f aca="false">SUM(E4:I4)</f>
        <v>379</v>
      </c>
      <c r="K4" s="11" t="n">
        <f aca="false">IF(COUNT(E4:I4)=0,0,J4/(COUNT(E4:I4)*'Student Data'!$R$2))</f>
        <v>0.758</v>
      </c>
      <c r="L4" s="14" t="str">
        <f aca="false">IF(M4="Fail","F",INDEX('Student Data'!$R$6:$R$11,MATCH(K4*100,'Student Data'!$Q$6:$Q$11,1)))</f>
        <v>A</v>
      </c>
      <c r="M4" s="14" t="str">
        <f aca="false">IF(COUNTIF(E4:I4,"&lt;"&amp;'Student Data'!$R$3)&gt;0,"Fail","Pass")</f>
        <v>Pass</v>
      </c>
      <c r="N4" s="10" t="n">
        <f aca="false">RANK(K4,$K$2:$K$31)+COUNTIF($K$2:K4,K4)-1</f>
        <v>10</v>
      </c>
      <c r="O4" s="15" t="str">
        <f aca="false">IF(M4="Fail","Needs Improvement",INDEX('Student Data'!$S$6:$S$11,MATCH(K4*100,'Student Data'!$Q$6:$Q$11,1)))</f>
        <v>Very Good</v>
      </c>
    </row>
    <row r="5" customFormat="false" ht="15" hidden="false" customHeight="false" outlineLevel="0" collapsed="false">
      <c r="A5" s="12" t="n">
        <v>1004</v>
      </c>
      <c r="B5" s="13" t="s">
        <v>46</v>
      </c>
      <c r="C5" s="12" t="s">
        <v>20</v>
      </c>
      <c r="D5" s="12" t="s">
        <v>43</v>
      </c>
      <c r="E5" s="12" t="n">
        <v>67</v>
      </c>
      <c r="F5" s="12" t="n">
        <v>73</v>
      </c>
      <c r="G5" s="12" t="n">
        <v>55</v>
      </c>
      <c r="H5" s="12" t="n">
        <v>65</v>
      </c>
      <c r="I5" s="12" t="n">
        <v>72</v>
      </c>
      <c r="J5" s="10" t="n">
        <f aca="false">SUM(E5:I5)</f>
        <v>332</v>
      </c>
      <c r="K5" s="11" t="n">
        <f aca="false">IF(COUNT(E5:I5)=0,0,J5/(COUNT(E5:I5)*'Student Data'!$R$2))</f>
        <v>0.664</v>
      </c>
      <c r="L5" s="14" t="str">
        <f aca="false">IF(M5="Fail","F",INDEX('Student Data'!$R$6:$R$11,MATCH(K5*100,'Student Data'!$Q$6:$Q$11,1)))</f>
        <v>B</v>
      </c>
      <c r="M5" s="14" t="str">
        <f aca="false">IF(COUNTIF(E5:I5,"&lt;"&amp;'Student Data'!$R$3)&gt;0,"Fail","Pass")</f>
        <v>Pass</v>
      </c>
      <c r="N5" s="10" t="n">
        <f aca="false">RANK(K5,$K$2:$K$31)+COUNTIF($K$2:K5,K5)-1</f>
        <v>20</v>
      </c>
      <c r="O5" s="15" t="str">
        <f aca="false">IF(M5="Fail","Needs Improvement",INDEX('Student Data'!$S$6:$S$11,MATCH(K5*100,'Student Data'!$Q$6:$Q$11,1)))</f>
        <v>Good</v>
      </c>
      <c r="Q5" s="7" t="s">
        <v>47</v>
      </c>
      <c r="R5" s="7" t="s">
        <v>14</v>
      </c>
      <c r="S5" s="7" t="s">
        <v>37</v>
      </c>
    </row>
    <row r="6" customFormat="false" ht="15" hidden="false" customHeight="false" outlineLevel="0" collapsed="false">
      <c r="A6" s="12" t="n">
        <v>1005</v>
      </c>
      <c r="B6" s="13" t="s">
        <v>48</v>
      </c>
      <c r="C6" s="12" t="s">
        <v>21</v>
      </c>
      <c r="D6" s="12" t="s">
        <v>40</v>
      </c>
      <c r="E6" s="12" t="n">
        <v>77</v>
      </c>
      <c r="F6" s="12" t="n">
        <v>82</v>
      </c>
      <c r="G6" s="12" t="n">
        <v>81</v>
      </c>
      <c r="H6" s="12" t="n">
        <v>86</v>
      </c>
      <c r="I6" s="12" t="n">
        <v>69</v>
      </c>
      <c r="J6" s="10" t="n">
        <f aca="false">SUM(E6:I6)</f>
        <v>395</v>
      </c>
      <c r="K6" s="11" t="n">
        <f aca="false">IF(COUNT(E6:I6)=0,0,J6/(COUNT(E6:I6)*'Student Data'!$R$2))</f>
        <v>0.79</v>
      </c>
      <c r="L6" s="14" t="str">
        <f aca="false">IF(M6="Fail","F",INDEX('Student Data'!$R$6:$R$11,MATCH(K6*100,'Student Data'!$Q$6:$Q$11,1)))</f>
        <v>A</v>
      </c>
      <c r="M6" s="14" t="str">
        <f aca="false">IF(COUNTIF(E6:I6,"&lt;"&amp;'Student Data'!$R$3)&gt;0,"Fail","Pass")</f>
        <v>Pass</v>
      </c>
      <c r="N6" s="10" t="n">
        <f aca="false">RANK(K6,$K$2:$K$31)+COUNTIF($K$2:K6,K6)-1</f>
        <v>8</v>
      </c>
      <c r="O6" s="15" t="str">
        <f aca="false">IF(M6="Fail","Needs Improvement",INDEX('Student Data'!$S$6:$S$11,MATCH(K6*100,'Student Data'!$Q$6:$Q$11,1)))</f>
        <v>Very Good</v>
      </c>
      <c r="Q6" s="12" t="n">
        <v>0</v>
      </c>
      <c r="R6" s="12" t="s">
        <v>43</v>
      </c>
      <c r="S6" s="12" t="s">
        <v>49</v>
      </c>
    </row>
    <row r="7" customFormat="false" ht="15" hidden="false" customHeight="false" outlineLevel="0" collapsed="false">
      <c r="A7" s="12" t="n">
        <v>1006</v>
      </c>
      <c r="B7" s="13" t="s">
        <v>50</v>
      </c>
      <c r="C7" s="12" t="s">
        <v>22</v>
      </c>
      <c r="D7" s="12" t="s">
        <v>43</v>
      </c>
      <c r="E7" s="12" t="n">
        <v>61</v>
      </c>
      <c r="F7" s="12" t="n">
        <v>51</v>
      </c>
      <c r="G7" s="12" t="n">
        <v>69</v>
      </c>
      <c r="H7" s="12" t="n">
        <v>67</v>
      </c>
      <c r="I7" s="12" t="n">
        <v>83</v>
      </c>
      <c r="J7" s="10" t="n">
        <f aca="false">SUM(E7:I7)</f>
        <v>331</v>
      </c>
      <c r="K7" s="11" t="n">
        <f aca="false">IF(COUNT(E7:I7)=0,0,J7/(COUNT(E7:I7)*'Student Data'!$R$2))</f>
        <v>0.662</v>
      </c>
      <c r="L7" s="14" t="str">
        <f aca="false">IF(M7="Fail","F",INDEX('Student Data'!$R$6:$R$11,MATCH(K7*100,'Student Data'!$Q$6:$Q$11,1)))</f>
        <v>B</v>
      </c>
      <c r="M7" s="14" t="str">
        <f aca="false">IF(COUNTIF(E7:I7,"&lt;"&amp;'Student Data'!$R$3)&gt;0,"Fail","Pass")</f>
        <v>Pass</v>
      </c>
      <c r="N7" s="10" t="n">
        <f aca="false">RANK(K7,$K$2:$K$31)+COUNTIF($K$2:K7,K7)-1</f>
        <v>21</v>
      </c>
      <c r="O7" s="15" t="str">
        <f aca="false">IF(M7="Fail","Needs Improvement",INDEX('Student Data'!$S$6:$S$11,MATCH(K7*100,'Student Data'!$Q$6:$Q$11,1)))</f>
        <v>Good</v>
      </c>
      <c r="Q7" s="12" t="n">
        <v>33</v>
      </c>
      <c r="R7" s="12" t="s">
        <v>51</v>
      </c>
      <c r="S7" s="12" t="s">
        <v>52</v>
      </c>
    </row>
    <row r="8" customFormat="false" ht="15" hidden="false" customHeight="false" outlineLevel="0" collapsed="false">
      <c r="A8" s="12" t="n">
        <v>1007</v>
      </c>
      <c r="B8" s="13" t="s">
        <v>53</v>
      </c>
      <c r="C8" s="12" t="s">
        <v>20</v>
      </c>
      <c r="D8" s="12" t="s">
        <v>40</v>
      </c>
      <c r="E8" s="12" t="n">
        <v>65</v>
      </c>
      <c r="F8" s="12" t="n">
        <v>84</v>
      </c>
      <c r="G8" s="12" t="n">
        <v>67</v>
      </c>
      <c r="H8" s="12" t="n">
        <v>75</v>
      </c>
      <c r="I8" s="12" t="n">
        <v>73</v>
      </c>
      <c r="J8" s="10" t="n">
        <f aca="false">SUM(E8:I8)</f>
        <v>364</v>
      </c>
      <c r="K8" s="11" t="n">
        <f aca="false">IF(COUNT(E8:I8)=0,0,J8/(COUNT(E8:I8)*'Student Data'!$R$2))</f>
        <v>0.728</v>
      </c>
      <c r="L8" s="14" t="str">
        <f aca="false">IF(M8="Fail","F",INDEX('Student Data'!$R$6:$R$11,MATCH(K8*100,'Student Data'!$Q$6:$Q$11,1)))</f>
        <v>B</v>
      </c>
      <c r="M8" s="14" t="str">
        <f aca="false">IF(COUNTIF(E8:I8,"&lt;"&amp;'Student Data'!$R$3)&gt;0,"Fail","Pass")</f>
        <v>Pass</v>
      </c>
      <c r="N8" s="10" t="n">
        <f aca="false">RANK(K8,$K$2:$K$31)+COUNTIF($K$2:K8,K8)-1</f>
        <v>14</v>
      </c>
      <c r="O8" s="15" t="str">
        <f aca="false">IF(M8="Fail","Needs Improvement",INDEX('Student Data'!$S$6:$S$11,MATCH(K8*100,'Student Data'!$Q$6:$Q$11,1)))</f>
        <v>Good</v>
      </c>
      <c r="Q8" s="12" t="n">
        <v>50</v>
      </c>
      <c r="R8" s="12" t="s">
        <v>22</v>
      </c>
      <c r="S8" s="12" t="s">
        <v>10</v>
      </c>
    </row>
    <row r="9" customFormat="false" ht="15" hidden="false" customHeight="false" outlineLevel="0" collapsed="false">
      <c r="A9" s="12" t="n">
        <v>1008</v>
      </c>
      <c r="B9" s="13" t="s">
        <v>54</v>
      </c>
      <c r="C9" s="12" t="s">
        <v>21</v>
      </c>
      <c r="D9" s="12" t="s">
        <v>43</v>
      </c>
      <c r="E9" s="12" t="n">
        <v>76</v>
      </c>
      <c r="F9" s="12" t="n">
        <v>75</v>
      </c>
      <c r="G9" s="12" t="n">
        <v>72</v>
      </c>
      <c r="H9" s="12" t="n">
        <v>75</v>
      </c>
      <c r="I9" s="12" t="n">
        <v>73</v>
      </c>
      <c r="J9" s="10" t="n">
        <f aca="false">SUM(E9:I9)</f>
        <v>371</v>
      </c>
      <c r="K9" s="11" t="n">
        <f aca="false">IF(COUNT(E9:I9)=0,0,J9/(COUNT(E9:I9)*'Student Data'!$R$2))</f>
        <v>0.742</v>
      </c>
      <c r="L9" s="14" t="str">
        <f aca="false">IF(M9="Fail","F",INDEX('Student Data'!$R$6:$R$11,MATCH(K9*100,'Student Data'!$Q$6:$Q$11,1)))</f>
        <v>B</v>
      </c>
      <c r="M9" s="14" t="str">
        <f aca="false">IF(COUNTIF(E9:I9,"&lt;"&amp;'Student Data'!$R$3)&gt;0,"Fail","Pass")</f>
        <v>Pass</v>
      </c>
      <c r="N9" s="10" t="n">
        <f aca="false">RANK(K9,$K$2:$K$31)+COUNTIF($K$2:K9,K9)-1</f>
        <v>11</v>
      </c>
      <c r="O9" s="15" t="str">
        <f aca="false">IF(M9="Fail","Needs Improvement",INDEX('Student Data'!$S$6:$S$11,MATCH(K9*100,'Student Data'!$Q$6:$Q$11,1)))</f>
        <v>Good</v>
      </c>
      <c r="Q9" s="12" t="n">
        <v>60</v>
      </c>
      <c r="R9" s="12" t="s">
        <v>21</v>
      </c>
      <c r="S9" s="12" t="s">
        <v>55</v>
      </c>
    </row>
    <row r="10" customFormat="false" ht="15" hidden="false" customHeight="false" outlineLevel="0" collapsed="false">
      <c r="A10" s="12" t="n">
        <v>1009</v>
      </c>
      <c r="B10" s="13" t="s">
        <v>56</v>
      </c>
      <c r="C10" s="12" t="s">
        <v>22</v>
      </c>
      <c r="D10" s="12" t="s">
        <v>40</v>
      </c>
      <c r="E10" s="12" t="n">
        <v>53</v>
      </c>
      <c r="F10" s="12" t="n">
        <v>55</v>
      </c>
      <c r="G10" s="12" t="n">
        <v>64</v>
      </c>
      <c r="H10" s="12" t="n">
        <v>57</v>
      </c>
      <c r="I10" s="12" t="n">
        <v>80</v>
      </c>
      <c r="J10" s="10" t="n">
        <f aca="false">SUM(E10:I10)</f>
        <v>309</v>
      </c>
      <c r="K10" s="11" t="n">
        <f aca="false">IF(COUNT(E10:I10)=0,0,J10/(COUNT(E10:I10)*'Student Data'!$R$2))</f>
        <v>0.618</v>
      </c>
      <c r="L10" s="14" t="str">
        <f aca="false">IF(M10="Fail","F",INDEX('Student Data'!$R$6:$R$11,MATCH(K10*100,'Student Data'!$Q$6:$Q$11,1)))</f>
        <v>B</v>
      </c>
      <c r="M10" s="14" t="str">
        <f aca="false">IF(COUNTIF(E10:I10,"&lt;"&amp;'Student Data'!$R$3)&gt;0,"Fail","Pass")</f>
        <v>Pass</v>
      </c>
      <c r="N10" s="10" t="n">
        <f aca="false">RANK(K10,$K$2:$K$31)+COUNTIF($K$2:K10,K10)-1</f>
        <v>26</v>
      </c>
      <c r="O10" s="15" t="str">
        <f aca="false">IF(M10="Fail","Needs Improvement",INDEX('Student Data'!$S$6:$S$11,MATCH(K10*100,'Student Data'!$Q$6:$Q$11,1)))</f>
        <v>Good</v>
      </c>
      <c r="Q10" s="12" t="n">
        <v>75</v>
      </c>
      <c r="R10" s="12" t="s">
        <v>20</v>
      </c>
      <c r="S10" s="12" t="s">
        <v>57</v>
      </c>
    </row>
    <row r="11" customFormat="false" ht="15" hidden="false" customHeight="false" outlineLevel="0" collapsed="false">
      <c r="A11" s="12" t="n">
        <v>1010</v>
      </c>
      <c r="B11" s="13" t="s">
        <v>58</v>
      </c>
      <c r="C11" s="12" t="s">
        <v>20</v>
      </c>
      <c r="D11" s="12" t="s">
        <v>43</v>
      </c>
      <c r="E11" s="12" t="n">
        <v>47</v>
      </c>
      <c r="F11" s="12" t="n">
        <v>64</v>
      </c>
      <c r="G11" s="12" t="n">
        <v>70</v>
      </c>
      <c r="H11" s="12" t="n">
        <v>61</v>
      </c>
      <c r="I11" s="12" t="n">
        <v>64</v>
      </c>
      <c r="J11" s="10" t="n">
        <f aca="false">SUM(E11:I11)</f>
        <v>306</v>
      </c>
      <c r="K11" s="11" t="n">
        <f aca="false">IF(COUNT(E11:I11)=0,0,J11/(COUNT(E11:I11)*'Student Data'!$R$2))</f>
        <v>0.612</v>
      </c>
      <c r="L11" s="14" t="str">
        <f aca="false">IF(M11="Fail","F",INDEX('Student Data'!$R$6:$R$11,MATCH(K11*100,'Student Data'!$Q$6:$Q$11,1)))</f>
        <v>B</v>
      </c>
      <c r="M11" s="14" t="str">
        <f aca="false">IF(COUNTIF(E11:I11,"&lt;"&amp;'Student Data'!$R$3)&gt;0,"Fail","Pass")</f>
        <v>Pass</v>
      </c>
      <c r="N11" s="10" t="n">
        <f aca="false">RANK(K11,$K$2:$K$31)+COUNTIF($K$2:K11,K11)-1</f>
        <v>27</v>
      </c>
      <c r="O11" s="15" t="str">
        <f aca="false">IF(M11="Fail","Needs Improvement",INDEX('Student Data'!$S$6:$S$11,MATCH(K11*100,'Student Data'!$Q$6:$Q$11,1)))</f>
        <v>Good</v>
      </c>
      <c r="Q11" s="12" t="n">
        <v>90</v>
      </c>
      <c r="R11" s="12" t="s">
        <v>59</v>
      </c>
      <c r="S11" s="12" t="s">
        <v>60</v>
      </c>
    </row>
    <row r="12" customFormat="false" ht="15" hidden="false" customHeight="false" outlineLevel="0" collapsed="false">
      <c r="A12" s="12" t="n">
        <v>1011</v>
      </c>
      <c r="B12" s="13" t="s">
        <v>61</v>
      </c>
      <c r="C12" s="12" t="s">
        <v>21</v>
      </c>
      <c r="D12" s="12" t="s">
        <v>40</v>
      </c>
      <c r="E12" s="12" t="n">
        <v>85</v>
      </c>
      <c r="F12" s="12" t="n">
        <v>73</v>
      </c>
      <c r="G12" s="12" t="n">
        <v>81</v>
      </c>
      <c r="H12" s="12" t="n">
        <v>95</v>
      </c>
      <c r="I12" s="12" t="n">
        <v>73</v>
      </c>
      <c r="J12" s="10" t="n">
        <f aca="false">SUM(E12:I12)</f>
        <v>407</v>
      </c>
      <c r="K12" s="11" t="n">
        <f aca="false">IF(COUNT(E12:I12)=0,0,J12/(COUNT(E12:I12)*'Student Data'!$R$2))</f>
        <v>0.814</v>
      </c>
      <c r="L12" s="14" t="str">
        <f aca="false">IF(M12="Fail","F",INDEX('Student Data'!$R$6:$R$11,MATCH(K12*100,'Student Data'!$Q$6:$Q$11,1)))</f>
        <v>A</v>
      </c>
      <c r="M12" s="14" t="str">
        <f aca="false">IF(COUNTIF(E12:I12,"&lt;"&amp;'Student Data'!$R$3)&gt;0,"Fail","Pass")</f>
        <v>Pass</v>
      </c>
      <c r="N12" s="10" t="n">
        <f aca="false">RANK(K12,$K$2:$K$31)+COUNTIF($K$2:K12,K12)-1</f>
        <v>7</v>
      </c>
      <c r="O12" s="15" t="str">
        <f aca="false">IF(M12="Fail","Needs Improvement",INDEX('Student Data'!$S$6:$S$11,MATCH(K12*100,'Student Data'!$Q$6:$Q$11,1)))</f>
        <v>Very Good</v>
      </c>
      <c r="Q12" s="2" t="s">
        <v>62</v>
      </c>
    </row>
    <row r="13" customFormat="false" ht="15" hidden="false" customHeight="false" outlineLevel="0" collapsed="false">
      <c r="A13" s="12" t="n">
        <v>1012</v>
      </c>
      <c r="B13" s="13" t="s">
        <v>63</v>
      </c>
      <c r="C13" s="12" t="s">
        <v>22</v>
      </c>
      <c r="D13" s="12" t="s">
        <v>43</v>
      </c>
      <c r="E13" s="12" t="n">
        <v>70</v>
      </c>
      <c r="F13" s="12" t="n">
        <v>65</v>
      </c>
      <c r="G13" s="12" t="n">
        <v>74</v>
      </c>
      <c r="H13" s="12" t="n">
        <v>73</v>
      </c>
      <c r="I13" s="12" t="n">
        <v>89</v>
      </c>
      <c r="J13" s="10" t="n">
        <f aca="false">SUM(E13:I13)</f>
        <v>371</v>
      </c>
      <c r="K13" s="11" t="n">
        <f aca="false">IF(COUNT(E13:I13)=0,0,J13/(COUNT(E13:I13)*'Student Data'!$R$2))</f>
        <v>0.742</v>
      </c>
      <c r="L13" s="14" t="str">
        <f aca="false">IF(M13="Fail","F",INDEX('Student Data'!$R$6:$R$11,MATCH(K13*100,'Student Data'!$Q$6:$Q$11,1)))</f>
        <v>B</v>
      </c>
      <c r="M13" s="14" t="str">
        <f aca="false">IF(COUNTIF(E13:I13,"&lt;"&amp;'Student Data'!$R$3)&gt;0,"Fail","Pass")</f>
        <v>Pass</v>
      </c>
      <c r="N13" s="10" t="n">
        <f aca="false">RANK(K13,$K$2:$K$31)+COUNTIF($K$2:K13,K13)-1</f>
        <v>12</v>
      </c>
      <c r="O13" s="15" t="str">
        <f aca="false">IF(M13="Fail","Needs Improvement",INDEX('Student Data'!$S$6:$S$11,MATCH(K13*100,'Student Data'!$Q$6:$Q$11,1)))</f>
        <v>Good</v>
      </c>
    </row>
    <row r="14" customFormat="false" ht="15" hidden="false" customHeight="false" outlineLevel="0" collapsed="false">
      <c r="A14" s="12" t="n">
        <v>1013</v>
      </c>
      <c r="B14" s="13" t="s">
        <v>64</v>
      </c>
      <c r="C14" s="12" t="s">
        <v>20</v>
      </c>
      <c r="D14" s="12" t="s">
        <v>40</v>
      </c>
      <c r="E14" s="12" t="n">
        <v>70</v>
      </c>
      <c r="F14" s="12" t="n">
        <v>71</v>
      </c>
      <c r="G14" s="12" t="n">
        <v>68</v>
      </c>
      <c r="H14" s="12" t="n">
        <v>84</v>
      </c>
      <c r="I14" s="12" t="n">
        <v>70</v>
      </c>
      <c r="J14" s="10" t="n">
        <f aca="false">SUM(E14:I14)</f>
        <v>363</v>
      </c>
      <c r="K14" s="11" t="n">
        <f aca="false">IF(COUNT(E14:I14)=0,0,J14/(COUNT(E14:I14)*'Student Data'!$R$2))</f>
        <v>0.726</v>
      </c>
      <c r="L14" s="14" t="str">
        <f aca="false">IF(M14="Fail","F",INDEX('Student Data'!$R$6:$R$11,MATCH(K14*100,'Student Data'!$Q$6:$Q$11,1)))</f>
        <v>B</v>
      </c>
      <c r="M14" s="14" t="str">
        <f aca="false">IF(COUNTIF(E14:I14,"&lt;"&amp;'Student Data'!$R$3)&gt;0,"Fail","Pass")</f>
        <v>Pass</v>
      </c>
      <c r="N14" s="10" t="n">
        <f aca="false">RANK(K14,$K$2:$K$31)+COUNTIF($K$2:K14,K14)-1</f>
        <v>15</v>
      </c>
      <c r="O14" s="15" t="str">
        <f aca="false">IF(M14="Fail","Needs Improvement",INDEX('Student Data'!$S$6:$S$11,MATCH(K14*100,'Student Data'!$Q$6:$Q$11,1)))</f>
        <v>Good</v>
      </c>
    </row>
    <row r="15" customFormat="false" ht="15" hidden="false" customHeight="false" outlineLevel="0" collapsed="false">
      <c r="A15" s="12" t="n">
        <v>1014</v>
      </c>
      <c r="B15" s="13" t="s">
        <v>65</v>
      </c>
      <c r="C15" s="12" t="s">
        <v>21</v>
      </c>
      <c r="D15" s="12" t="s">
        <v>43</v>
      </c>
      <c r="E15" s="12" t="n">
        <v>73</v>
      </c>
      <c r="F15" s="12" t="n">
        <v>60</v>
      </c>
      <c r="G15" s="12" t="n">
        <v>64</v>
      </c>
      <c r="H15" s="12" t="n">
        <v>50</v>
      </c>
      <c r="I15" s="12" t="n">
        <v>57</v>
      </c>
      <c r="J15" s="10" t="n">
        <f aca="false">SUM(E15:I15)</f>
        <v>304</v>
      </c>
      <c r="K15" s="11" t="n">
        <f aca="false">IF(COUNT(E15:I15)=0,0,J15/(COUNT(E15:I15)*'Student Data'!$R$2))</f>
        <v>0.608</v>
      </c>
      <c r="L15" s="14" t="str">
        <f aca="false">IF(M15="Fail","F",INDEX('Student Data'!$R$6:$R$11,MATCH(K15*100,'Student Data'!$Q$6:$Q$11,1)))</f>
        <v>B</v>
      </c>
      <c r="M15" s="14" t="str">
        <f aca="false">IF(COUNTIF(E15:I15,"&lt;"&amp;'Student Data'!$R$3)&gt;0,"Fail","Pass")</f>
        <v>Pass</v>
      </c>
      <c r="N15" s="10" t="n">
        <f aca="false">RANK(K15,$K$2:$K$31)+COUNTIF($K$2:K15,K15)-1</f>
        <v>28</v>
      </c>
      <c r="O15" s="15" t="str">
        <f aca="false">IF(M15="Fail","Needs Improvement",INDEX('Student Data'!$S$6:$S$11,MATCH(K15*100,'Student Data'!$Q$6:$Q$11,1)))</f>
        <v>Good</v>
      </c>
    </row>
    <row r="16" customFormat="false" ht="15" hidden="false" customHeight="false" outlineLevel="0" collapsed="false">
      <c r="A16" s="12" t="n">
        <v>1015</v>
      </c>
      <c r="B16" s="13" t="s">
        <v>66</v>
      </c>
      <c r="C16" s="12" t="s">
        <v>22</v>
      </c>
      <c r="D16" s="12" t="s">
        <v>40</v>
      </c>
      <c r="E16" s="12" t="n">
        <v>64</v>
      </c>
      <c r="F16" s="12" t="n">
        <v>71</v>
      </c>
      <c r="G16" s="12" t="n">
        <v>60</v>
      </c>
      <c r="H16" s="12" t="n">
        <v>62</v>
      </c>
      <c r="I16" s="12" t="n">
        <v>62</v>
      </c>
      <c r="J16" s="10" t="n">
        <f aca="false">SUM(E16:I16)</f>
        <v>319</v>
      </c>
      <c r="K16" s="11" t="n">
        <f aca="false">IF(COUNT(E16:I16)=0,0,J16/(COUNT(E16:I16)*'Student Data'!$R$2))</f>
        <v>0.638</v>
      </c>
      <c r="L16" s="14" t="str">
        <f aca="false">IF(M16="Fail","F",INDEX('Student Data'!$R$6:$R$11,MATCH(K16*100,'Student Data'!$Q$6:$Q$11,1)))</f>
        <v>B</v>
      </c>
      <c r="M16" s="14" t="str">
        <f aca="false">IF(COUNTIF(E16:I16,"&lt;"&amp;'Student Data'!$R$3)&gt;0,"Fail","Pass")</f>
        <v>Pass</v>
      </c>
      <c r="N16" s="10" t="n">
        <f aca="false">RANK(K16,$K$2:$K$31)+COUNTIF($K$2:K16,K16)-1</f>
        <v>23</v>
      </c>
      <c r="O16" s="15" t="str">
        <f aca="false">IF(M16="Fail","Needs Improvement",INDEX('Student Data'!$S$6:$S$11,MATCH(K16*100,'Student Data'!$Q$6:$Q$11,1)))</f>
        <v>Good</v>
      </c>
    </row>
    <row r="17" customFormat="false" ht="15" hidden="false" customHeight="false" outlineLevel="0" collapsed="false">
      <c r="A17" s="12" t="n">
        <v>1016</v>
      </c>
      <c r="B17" s="13" t="s">
        <v>67</v>
      </c>
      <c r="C17" s="12" t="s">
        <v>20</v>
      </c>
      <c r="D17" s="12" t="s">
        <v>43</v>
      </c>
      <c r="E17" s="12" t="n">
        <v>90</v>
      </c>
      <c r="F17" s="12" t="n">
        <v>84</v>
      </c>
      <c r="G17" s="12" t="n">
        <v>73</v>
      </c>
      <c r="H17" s="12" t="n">
        <v>90</v>
      </c>
      <c r="I17" s="12" t="n">
        <v>85</v>
      </c>
      <c r="J17" s="10" t="n">
        <f aca="false">SUM(E17:I17)</f>
        <v>422</v>
      </c>
      <c r="K17" s="11" t="n">
        <f aca="false">IF(COUNT(E17:I17)=0,0,J17/(COUNT(E17:I17)*'Student Data'!$R$2))</f>
        <v>0.844</v>
      </c>
      <c r="L17" s="14" t="str">
        <f aca="false">IF(M17="Fail","F",INDEX('Student Data'!$R$6:$R$11,MATCH(K17*100,'Student Data'!$Q$6:$Q$11,1)))</f>
        <v>A</v>
      </c>
      <c r="M17" s="14" t="str">
        <f aca="false">IF(COUNTIF(E17:I17,"&lt;"&amp;'Student Data'!$R$3)&gt;0,"Fail","Pass")</f>
        <v>Pass</v>
      </c>
      <c r="N17" s="10" t="n">
        <f aca="false">RANK(K17,$K$2:$K$31)+COUNTIF($K$2:K17,K17)-1</f>
        <v>6</v>
      </c>
      <c r="O17" s="15" t="str">
        <f aca="false">IF(M17="Fail","Needs Improvement",INDEX('Student Data'!$S$6:$S$11,MATCH(K17*100,'Student Data'!$Q$6:$Q$11,1)))</f>
        <v>Very Good</v>
      </c>
    </row>
    <row r="18" customFormat="false" ht="15" hidden="false" customHeight="false" outlineLevel="0" collapsed="false">
      <c r="A18" s="12" t="n">
        <v>1017</v>
      </c>
      <c r="B18" s="13" t="s">
        <v>68</v>
      </c>
      <c r="C18" s="12" t="s">
        <v>21</v>
      </c>
      <c r="D18" s="12" t="s">
        <v>40</v>
      </c>
      <c r="E18" s="12" t="n">
        <v>83</v>
      </c>
      <c r="F18" s="12" t="n">
        <v>99</v>
      </c>
      <c r="G18" s="12" t="n">
        <v>80</v>
      </c>
      <c r="H18" s="12" t="n">
        <v>98</v>
      </c>
      <c r="I18" s="12" t="n">
        <v>84</v>
      </c>
      <c r="J18" s="10" t="n">
        <f aca="false">SUM(E18:I18)</f>
        <v>444</v>
      </c>
      <c r="K18" s="11" t="n">
        <f aca="false">IF(COUNT(E18:I18)=0,0,J18/(COUNT(E18:I18)*'Student Data'!$R$2))</f>
        <v>0.888</v>
      </c>
      <c r="L18" s="14" t="str">
        <f aca="false">IF(M18="Fail","F",INDEX('Student Data'!$R$6:$R$11,MATCH(K18*100,'Student Data'!$Q$6:$Q$11,1)))</f>
        <v>A</v>
      </c>
      <c r="M18" s="14" t="str">
        <f aca="false">IF(COUNTIF(E18:I18,"&lt;"&amp;'Student Data'!$R$3)&gt;0,"Fail","Pass")</f>
        <v>Pass</v>
      </c>
      <c r="N18" s="10" t="n">
        <f aca="false">RANK(K18,$K$2:$K$31)+COUNTIF($K$2:K18,K18)-1</f>
        <v>3</v>
      </c>
      <c r="O18" s="15" t="str">
        <f aca="false">IF(M18="Fail","Needs Improvement",INDEX('Student Data'!$S$6:$S$11,MATCH(K18*100,'Student Data'!$Q$6:$Q$11,1)))</f>
        <v>Very Good</v>
      </c>
    </row>
    <row r="19" customFormat="false" ht="15" hidden="false" customHeight="false" outlineLevel="0" collapsed="false">
      <c r="A19" s="12" t="n">
        <v>1018</v>
      </c>
      <c r="B19" s="13" t="s">
        <v>69</v>
      </c>
      <c r="C19" s="12" t="s">
        <v>22</v>
      </c>
      <c r="D19" s="12" t="s">
        <v>43</v>
      </c>
      <c r="E19" s="12" t="n">
        <v>51</v>
      </c>
      <c r="F19" s="12" t="n">
        <v>59</v>
      </c>
      <c r="G19" s="12" t="n">
        <v>74</v>
      </c>
      <c r="H19" s="12" t="n">
        <v>68</v>
      </c>
      <c r="I19" s="12" t="n">
        <v>67</v>
      </c>
      <c r="J19" s="10" t="n">
        <f aca="false">SUM(E19:I19)</f>
        <v>319</v>
      </c>
      <c r="K19" s="11" t="n">
        <f aca="false">IF(COUNT(E19:I19)=0,0,J19/(COUNT(E19:I19)*'Student Data'!$R$2))</f>
        <v>0.638</v>
      </c>
      <c r="L19" s="14" t="str">
        <f aca="false">IF(M19="Fail","F",INDEX('Student Data'!$R$6:$R$11,MATCH(K19*100,'Student Data'!$Q$6:$Q$11,1)))</f>
        <v>B</v>
      </c>
      <c r="M19" s="14" t="str">
        <f aca="false">IF(COUNTIF(E19:I19,"&lt;"&amp;'Student Data'!$R$3)&gt;0,"Fail","Pass")</f>
        <v>Pass</v>
      </c>
      <c r="N19" s="10" t="n">
        <f aca="false">RANK(K19,$K$2:$K$31)+COUNTIF($K$2:K19,K19)-1</f>
        <v>24</v>
      </c>
      <c r="O19" s="15" t="str">
        <f aca="false">IF(M19="Fail","Needs Improvement",INDEX('Student Data'!$S$6:$S$11,MATCH(K19*100,'Student Data'!$Q$6:$Q$11,1)))</f>
        <v>Good</v>
      </c>
    </row>
    <row r="20" customFormat="false" ht="15" hidden="false" customHeight="false" outlineLevel="0" collapsed="false">
      <c r="A20" s="12" t="n">
        <v>1019</v>
      </c>
      <c r="B20" s="13" t="s">
        <v>70</v>
      </c>
      <c r="C20" s="12" t="s">
        <v>20</v>
      </c>
      <c r="D20" s="12" t="s">
        <v>40</v>
      </c>
      <c r="E20" s="12" t="n">
        <v>43</v>
      </c>
      <c r="F20" s="12" t="n">
        <v>42</v>
      </c>
      <c r="G20" s="12" t="n">
        <v>32</v>
      </c>
      <c r="H20" s="12" t="n">
        <v>31</v>
      </c>
      <c r="I20" s="12" t="n">
        <v>37</v>
      </c>
      <c r="J20" s="10" t="n">
        <f aca="false">SUM(E20:I20)</f>
        <v>185</v>
      </c>
      <c r="K20" s="11" t="n">
        <f aca="false">IF(COUNT(E20:I20)=0,0,J20/(COUNT(E20:I20)*'Student Data'!$R$2))</f>
        <v>0.37</v>
      </c>
      <c r="L20" s="14" t="str">
        <f aca="false">IF(M20="Fail","F",INDEX('Student Data'!$R$6:$R$11,MATCH(K20*100,'Student Data'!$Q$6:$Q$11,1)))</f>
        <v>F</v>
      </c>
      <c r="M20" s="14" t="str">
        <f aca="false">IF(COUNTIF(E20:I20,"&lt;"&amp;'Student Data'!$R$3)&gt;0,"Fail","Pass")</f>
        <v>Fail</v>
      </c>
      <c r="N20" s="10" t="n">
        <f aca="false">RANK(K20,$K$2:$K$31)+COUNTIF($K$2:K20,K20)-1</f>
        <v>30</v>
      </c>
      <c r="O20" s="15" t="str">
        <f aca="false">IF(M20="Fail","Needs Improvement",INDEX('Student Data'!$S$6:$S$11,MATCH(K20*100,'Student Data'!$Q$6:$Q$11,1)))</f>
        <v>Needs Improvement</v>
      </c>
    </row>
    <row r="21" customFormat="false" ht="15" hidden="false" customHeight="false" outlineLevel="0" collapsed="false">
      <c r="A21" s="12" t="n">
        <v>1020</v>
      </c>
      <c r="B21" s="13" t="s">
        <v>71</v>
      </c>
      <c r="C21" s="12" t="s">
        <v>21</v>
      </c>
      <c r="D21" s="12" t="s">
        <v>43</v>
      </c>
      <c r="E21" s="12" t="n">
        <v>80</v>
      </c>
      <c r="F21" s="12" t="n">
        <v>86</v>
      </c>
      <c r="G21" s="12" t="n">
        <v>99</v>
      </c>
      <c r="H21" s="12" t="n">
        <v>86</v>
      </c>
      <c r="I21" s="12" t="n">
        <v>87</v>
      </c>
      <c r="J21" s="10" t="n">
        <f aca="false">SUM(E21:I21)</f>
        <v>438</v>
      </c>
      <c r="K21" s="11" t="n">
        <f aca="false">IF(COUNT(E21:I21)=0,0,J21/(COUNT(E21:I21)*'Student Data'!$R$2))</f>
        <v>0.876</v>
      </c>
      <c r="L21" s="14" t="str">
        <f aca="false">IF(M21="Fail","F",INDEX('Student Data'!$R$6:$R$11,MATCH(K21*100,'Student Data'!$Q$6:$Q$11,1)))</f>
        <v>A</v>
      </c>
      <c r="M21" s="14" t="str">
        <f aca="false">IF(COUNTIF(E21:I21,"&lt;"&amp;'Student Data'!$R$3)&gt;0,"Fail","Pass")</f>
        <v>Pass</v>
      </c>
      <c r="N21" s="10" t="n">
        <f aca="false">RANK(K21,$K$2:$K$31)+COUNTIF($K$2:K21,K21)-1</f>
        <v>4</v>
      </c>
      <c r="O21" s="15" t="str">
        <f aca="false">IF(M21="Fail","Needs Improvement",INDEX('Student Data'!$S$6:$S$11,MATCH(K21*100,'Student Data'!$Q$6:$Q$11,1)))</f>
        <v>Very Good</v>
      </c>
    </row>
    <row r="22" customFormat="false" ht="15" hidden="false" customHeight="false" outlineLevel="0" collapsed="false">
      <c r="A22" s="12" t="n">
        <v>1021</v>
      </c>
      <c r="B22" s="13" t="s">
        <v>72</v>
      </c>
      <c r="C22" s="12" t="s">
        <v>22</v>
      </c>
      <c r="D22" s="12" t="s">
        <v>40</v>
      </c>
      <c r="E22" s="12" t="n">
        <v>58</v>
      </c>
      <c r="F22" s="12" t="n">
        <v>71</v>
      </c>
      <c r="G22" s="12" t="n">
        <v>58</v>
      </c>
      <c r="H22" s="12" t="n">
        <v>77</v>
      </c>
      <c r="I22" s="12" t="n">
        <v>69</v>
      </c>
      <c r="J22" s="10" t="n">
        <f aca="false">SUM(E22:I22)</f>
        <v>333</v>
      </c>
      <c r="K22" s="11" t="n">
        <f aca="false">IF(COUNT(E22:I22)=0,0,J22/(COUNT(E22:I22)*'Student Data'!$R$2))</f>
        <v>0.666</v>
      </c>
      <c r="L22" s="14" t="str">
        <f aca="false">IF(M22="Fail","F",INDEX('Student Data'!$R$6:$R$11,MATCH(K22*100,'Student Data'!$Q$6:$Q$11,1)))</f>
        <v>B</v>
      </c>
      <c r="M22" s="14" t="str">
        <f aca="false">IF(COUNTIF(E22:I22,"&lt;"&amp;'Student Data'!$R$3)&gt;0,"Fail","Pass")</f>
        <v>Pass</v>
      </c>
      <c r="N22" s="10" t="n">
        <f aca="false">RANK(K22,$K$2:$K$31)+COUNTIF($K$2:K22,K22)-1</f>
        <v>19</v>
      </c>
      <c r="O22" s="15" t="str">
        <f aca="false">IF(M22="Fail","Needs Improvement",INDEX('Student Data'!$S$6:$S$11,MATCH(K22*100,'Student Data'!$Q$6:$Q$11,1)))</f>
        <v>Good</v>
      </c>
    </row>
    <row r="23" customFormat="false" ht="15" hidden="false" customHeight="false" outlineLevel="0" collapsed="false">
      <c r="A23" s="12" t="n">
        <v>1022</v>
      </c>
      <c r="B23" s="13" t="s">
        <v>73</v>
      </c>
      <c r="C23" s="12" t="s">
        <v>20</v>
      </c>
      <c r="D23" s="12" t="s">
        <v>43</v>
      </c>
      <c r="E23" s="12" t="n">
        <v>99</v>
      </c>
      <c r="F23" s="12" t="n">
        <v>99</v>
      </c>
      <c r="G23" s="12" t="n">
        <v>85</v>
      </c>
      <c r="H23" s="12" t="n">
        <v>96</v>
      </c>
      <c r="I23" s="12" t="n">
        <v>99</v>
      </c>
      <c r="J23" s="10" t="n">
        <f aca="false">SUM(E23:I23)</f>
        <v>478</v>
      </c>
      <c r="K23" s="11" t="n">
        <f aca="false">IF(COUNT(E23:I23)=0,0,J23/(COUNT(E23:I23)*'Student Data'!$R$2))</f>
        <v>0.956</v>
      </c>
      <c r="L23" s="14" t="str">
        <f aca="false">IF(M23="Fail","F",INDEX('Student Data'!$R$6:$R$11,MATCH(K23*100,'Student Data'!$Q$6:$Q$11,1)))</f>
        <v>A+</v>
      </c>
      <c r="M23" s="14" t="str">
        <f aca="false">IF(COUNTIF(E23:I23,"&lt;"&amp;'Student Data'!$R$3)&gt;0,"Fail","Pass")</f>
        <v>Pass</v>
      </c>
      <c r="N23" s="10" t="n">
        <f aca="false">RANK(K23,$K$2:$K$31)+COUNTIF($K$2:K23,K23)-1</f>
        <v>1</v>
      </c>
      <c r="O23" s="15" t="str">
        <f aca="false">IF(M23="Fail","Needs Improvement",INDEX('Student Data'!$S$6:$S$11,MATCH(K23*100,'Student Data'!$Q$6:$Q$11,1)))</f>
        <v>Outstanding</v>
      </c>
    </row>
    <row r="24" customFormat="false" ht="15" hidden="false" customHeight="false" outlineLevel="0" collapsed="false">
      <c r="A24" s="12" t="n">
        <v>1023</v>
      </c>
      <c r="B24" s="13" t="s">
        <v>74</v>
      </c>
      <c r="C24" s="12" t="s">
        <v>21</v>
      </c>
      <c r="D24" s="12" t="s">
        <v>40</v>
      </c>
      <c r="E24" s="12" t="n">
        <v>75</v>
      </c>
      <c r="F24" s="12" t="n">
        <v>99</v>
      </c>
      <c r="G24" s="12" t="n">
        <v>96</v>
      </c>
      <c r="H24" s="12" t="n">
        <v>99</v>
      </c>
      <c r="I24" s="12" t="n">
        <v>97</v>
      </c>
      <c r="J24" s="10" t="n">
        <f aca="false">SUM(E24:I24)</f>
        <v>466</v>
      </c>
      <c r="K24" s="11" t="n">
        <f aca="false">IF(COUNT(E24:I24)=0,0,J24/(COUNT(E24:I24)*'Student Data'!$R$2))</f>
        <v>0.932</v>
      </c>
      <c r="L24" s="14" t="str">
        <f aca="false">IF(M24="Fail","F",INDEX('Student Data'!$R$6:$R$11,MATCH(K24*100,'Student Data'!$Q$6:$Q$11,1)))</f>
        <v>A+</v>
      </c>
      <c r="M24" s="14" t="str">
        <f aca="false">IF(COUNTIF(E24:I24,"&lt;"&amp;'Student Data'!$R$3)&gt;0,"Fail","Pass")</f>
        <v>Pass</v>
      </c>
      <c r="N24" s="10" t="n">
        <f aca="false">RANK(K24,$K$2:$K$31)+COUNTIF($K$2:K24,K24)-1</f>
        <v>2</v>
      </c>
      <c r="O24" s="15" t="str">
        <f aca="false">IF(M24="Fail","Needs Improvement",INDEX('Student Data'!$S$6:$S$11,MATCH(K24*100,'Student Data'!$Q$6:$Q$11,1)))</f>
        <v>Outstanding</v>
      </c>
    </row>
    <row r="25" customFormat="false" ht="15" hidden="false" customHeight="false" outlineLevel="0" collapsed="false">
      <c r="A25" s="12" t="n">
        <v>1024</v>
      </c>
      <c r="B25" s="13" t="s">
        <v>75</v>
      </c>
      <c r="C25" s="12" t="s">
        <v>22</v>
      </c>
      <c r="D25" s="12" t="s">
        <v>43</v>
      </c>
      <c r="E25" s="12" t="n">
        <v>63</v>
      </c>
      <c r="F25" s="12" t="n">
        <v>57</v>
      </c>
      <c r="G25" s="12" t="n">
        <v>70</v>
      </c>
      <c r="H25" s="12" t="n">
        <v>66</v>
      </c>
      <c r="I25" s="12" t="n">
        <v>86</v>
      </c>
      <c r="J25" s="10" t="n">
        <f aca="false">SUM(E25:I25)</f>
        <v>342</v>
      </c>
      <c r="K25" s="11" t="n">
        <f aca="false">IF(COUNT(E25:I25)=0,0,J25/(COUNT(E25:I25)*'Student Data'!$R$2))</f>
        <v>0.684</v>
      </c>
      <c r="L25" s="14" t="str">
        <f aca="false">IF(M25="Fail","F",INDEX('Student Data'!$R$6:$R$11,MATCH(K25*100,'Student Data'!$Q$6:$Q$11,1)))</f>
        <v>B</v>
      </c>
      <c r="M25" s="14" t="str">
        <f aca="false">IF(COUNTIF(E25:I25,"&lt;"&amp;'Student Data'!$R$3)&gt;0,"Fail","Pass")</f>
        <v>Pass</v>
      </c>
      <c r="N25" s="10" t="n">
        <f aca="false">RANK(K25,$K$2:$K$31)+COUNTIF($K$2:K25,K25)-1</f>
        <v>18</v>
      </c>
      <c r="O25" s="15" t="str">
        <f aca="false">IF(M25="Fail","Needs Improvement",INDEX('Student Data'!$S$6:$S$11,MATCH(K25*100,'Student Data'!$Q$6:$Q$11,1)))</f>
        <v>Good</v>
      </c>
    </row>
    <row r="26" customFormat="false" ht="15" hidden="false" customHeight="false" outlineLevel="0" collapsed="false">
      <c r="A26" s="12" t="n">
        <v>1025</v>
      </c>
      <c r="B26" s="13" t="s">
        <v>76</v>
      </c>
      <c r="C26" s="12" t="s">
        <v>20</v>
      </c>
      <c r="D26" s="12" t="s">
        <v>40</v>
      </c>
      <c r="E26" s="12" t="n">
        <v>62</v>
      </c>
      <c r="F26" s="12" t="n">
        <v>45</v>
      </c>
      <c r="G26" s="12" t="n">
        <v>56</v>
      </c>
      <c r="H26" s="12" t="n">
        <v>62</v>
      </c>
      <c r="I26" s="12" t="n">
        <v>67</v>
      </c>
      <c r="J26" s="10" t="n">
        <f aca="false">SUM(E26:I26)</f>
        <v>292</v>
      </c>
      <c r="K26" s="11" t="n">
        <f aca="false">IF(COUNT(E26:I26)=0,0,J26/(COUNT(E26:I26)*'Student Data'!$R$2))</f>
        <v>0.584</v>
      </c>
      <c r="L26" s="14" t="str">
        <f aca="false">IF(M26="Fail","F",INDEX('Student Data'!$R$6:$R$11,MATCH(K26*100,'Student Data'!$Q$6:$Q$11,1)))</f>
        <v>C</v>
      </c>
      <c r="M26" s="14" t="str">
        <f aca="false">IF(COUNTIF(E26:I26,"&lt;"&amp;'Student Data'!$R$3)&gt;0,"Fail","Pass")</f>
        <v>Pass</v>
      </c>
      <c r="N26" s="10" t="n">
        <f aca="false">RANK(K26,$K$2:$K$31)+COUNTIF($K$2:K26,K26)-1</f>
        <v>29</v>
      </c>
      <c r="O26" s="15" t="str">
        <f aca="false">IF(M26="Fail","Needs Improvement",INDEX('Student Data'!$S$6:$S$11,MATCH(K26*100,'Student Data'!$Q$6:$Q$11,1)))</f>
        <v>Average</v>
      </c>
    </row>
    <row r="27" customFormat="false" ht="15" hidden="false" customHeight="false" outlineLevel="0" collapsed="false">
      <c r="A27" s="12" t="n">
        <v>1026</v>
      </c>
      <c r="B27" s="13" t="s">
        <v>77</v>
      </c>
      <c r="C27" s="12" t="s">
        <v>21</v>
      </c>
      <c r="D27" s="12" t="s">
        <v>43</v>
      </c>
      <c r="E27" s="12" t="n">
        <v>86</v>
      </c>
      <c r="F27" s="12" t="n">
        <v>76</v>
      </c>
      <c r="G27" s="12" t="n">
        <v>90</v>
      </c>
      <c r="H27" s="12" t="n">
        <v>91</v>
      </c>
      <c r="I27" s="12" t="n">
        <v>91</v>
      </c>
      <c r="J27" s="10" t="n">
        <f aca="false">SUM(E27:I27)</f>
        <v>434</v>
      </c>
      <c r="K27" s="11" t="n">
        <f aca="false">IF(COUNT(E27:I27)=0,0,J27/(COUNT(E27:I27)*'Student Data'!$R$2))</f>
        <v>0.868</v>
      </c>
      <c r="L27" s="14" t="str">
        <f aca="false">IF(M27="Fail","F",INDEX('Student Data'!$R$6:$R$11,MATCH(K27*100,'Student Data'!$Q$6:$Q$11,1)))</f>
        <v>A</v>
      </c>
      <c r="M27" s="14" t="str">
        <f aca="false">IF(COUNTIF(E27:I27,"&lt;"&amp;'Student Data'!$R$3)&gt;0,"Fail","Pass")</f>
        <v>Pass</v>
      </c>
      <c r="N27" s="10" t="n">
        <f aca="false">RANK(K27,$K$2:$K$31)+COUNTIF($K$2:K27,K27)-1</f>
        <v>5</v>
      </c>
      <c r="O27" s="15" t="str">
        <f aca="false">IF(M27="Fail","Needs Improvement",INDEX('Student Data'!$S$6:$S$11,MATCH(K27*100,'Student Data'!$Q$6:$Q$11,1)))</f>
        <v>Very Good</v>
      </c>
    </row>
    <row r="28" customFormat="false" ht="15" hidden="false" customHeight="false" outlineLevel="0" collapsed="false">
      <c r="A28" s="12" t="n">
        <v>1027</v>
      </c>
      <c r="B28" s="13" t="s">
        <v>78</v>
      </c>
      <c r="C28" s="12" t="s">
        <v>22</v>
      </c>
      <c r="D28" s="12" t="s">
        <v>40</v>
      </c>
      <c r="E28" s="12" t="n">
        <v>69</v>
      </c>
      <c r="F28" s="12" t="n">
        <v>59</v>
      </c>
      <c r="G28" s="12" t="n">
        <v>65</v>
      </c>
      <c r="H28" s="12" t="n">
        <v>70</v>
      </c>
      <c r="I28" s="12" t="n">
        <v>64</v>
      </c>
      <c r="J28" s="10" t="n">
        <f aca="false">SUM(E28:I28)</f>
        <v>327</v>
      </c>
      <c r="K28" s="11" t="n">
        <f aca="false">IF(COUNT(E28:I28)=0,0,J28/(COUNT(E28:I28)*'Student Data'!$R$2))</f>
        <v>0.654</v>
      </c>
      <c r="L28" s="14" t="str">
        <f aca="false">IF(M28="Fail","F",INDEX('Student Data'!$R$6:$R$11,MATCH(K28*100,'Student Data'!$Q$6:$Q$11,1)))</f>
        <v>B</v>
      </c>
      <c r="M28" s="14" t="str">
        <f aca="false">IF(COUNTIF(E28:I28,"&lt;"&amp;'Student Data'!$R$3)&gt;0,"Fail","Pass")</f>
        <v>Pass</v>
      </c>
      <c r="N28" s="10" t="n">
        <f aca="false">RANK(K28,$K$2:$K$31)+COUNTIF($K$2:K28,K28)-1</f>
        <v>22</v>
      </c>
      <c r="O28" s="15" t="str">
        <f aca="false">IF(M28="Fail","Needs Improvement",INDEX('Student Data'!$S$6:$S$11,MATCH(K28*100,'Student Data'!$Q$6:$Q$11,1)))</f>
        <v>Good</v>
      </c>
    </row>
    <row r="29" customFormat="false" ht="15" hidden="false" customHeight="false" outlineLevel="0" collapsed="false">
      <c r="A29" s="12" t="n">
        <v>1028</v>
      </c>
      <c r="B29" s="13" t="s">
        <v>79</v>
      </c>
      <c r="C29" s="12" t="s">
        <v>20</v>
      </c>
      <c r="D29" s="12" t="s">
        <v>43</v>
      </c>
      <c r="E29" s="12" t="n">
        <v>91</v>
      </c>
      <c r="F29" s="12" t="n">
        <v>73</v>
      </c>
      <c r="G29" s="12" t="n">
        <v>69</v>
      </c>
      <c r="H29" s="12" t="n">
        <v>72</v>
      </c>
      <c r="I29" s="12" t="n">
        <v>85</v>
      </c>
      <c r="J29" s="10" t="n">
        <f aca="false">SUM(E29:I29)</f>
        <v>390</v>
      </c>
      <c r="K29" s="11" t="n">
        <f aca="false">IF(COUNT(E29:I29)=0,0,J29/(COUNT(E29:I29)*'Student Data'!$R$2))</f>
        <v>0.78</v>
      </c>
      <c r="L29" s="14" t="str">
        <f aca="false">IF(M29="Fail","F",INDEX('Student Data'!$R$6:$R$11,MATCH(K29*100,'Student Data'!$Q$6:$Q$11,1)))</f>
        <v>A</v>
      </c>
      <c r="M29" s="14" t="str">
        <f aca="false">IF(COUNTIF(E29:I29,"&lt;"&amp;'Student Data'!$R$3)&gt;0,"Fail","Pass")</f>
        <v>Pass</v>
      </c>
      <c r="N29" s="10" t="n">
        <f aca="false">RANK(K29,$K$2:$K$31)+COUNTIF($K$2:K29,K29)-1</f>
        <v>9</v>
      </c>
      <c r="O29" s="15" t="str">
        <f aca="false">IF(M29="Fail","Needs Improvement",INDEX('Student Data'!$S$6:$S$11,MATCH(K29*100,'Student Data'!$Q$6:$Q$11,1)))</f>
        <v>Very Good</v>
      </c>
    </row>
    <row r="30" customFormat="false" ht="15" hidden="false" customHeight="false" outlineLevel="0" collapsed="false">
      <c r="A30" s="12" t="n">
        <v>1029</v>
      </c>
      <c r="B30" s="13" t="s">
        <v>80</v>
      </c>
      <c r="C30" s="12" t="s">
        <v>21</v>
      </c>
      <c r="D30" s="12" t="s">
        <v>40</v>
      </c>
      <c r="E30" s="12" t="n">
        <v>74</v>
      </c>
      <c r="F30" s="12" t="n">
        <v>80</v>
      </c>
      <c r="G30" s="12" t="n">
        <v>64</v>
      </c>
      <c r="H30" s="12" t="n">
        <v>54</v>
      </c>
      <c r="I30" s="12" t="n">
        <v>72</v>
      </c>
      <c r="J30" s="10" t="n">
        <f aca="false">SUM(E30:I30)</f>
        <v>344</v>
      </c>
      <c r="K30" s="11" t="n">
        <f aca="false">IF(COUNT(E30:I30)=0,0,J30/(COUNT(E30:I30)*'Student Data'!$R$2))</f>
        <v>0.688</v>
      </c>
      <c r="L30" s="14" t="str">
        <f aca="false">IF(M30="Fail","F",INDEX('Student Data'!$R$6:$R$11,MATCH(K30*100,'Student Data'!$Q$6:$Q$11,1)))</f>
        <v>B</v>
      </c>
      <c r="M30" s="14" t="str">
        <f aca="false">IF(COUNTIF(E30:I30,"&lt;"&amp;'Student Data'!$R$3)&gt;0,"Fail","Pass")</f>
        <v>Pass</v>
      </c>
      <c r="N30" s="10" t="n">
        <f aca="false">RANK(K30,$K$2:$K$31)+COUNTIF($K$2:K30,K30)-1</f>
        <v>17</v>
      </c>
      <c r="O30" s="15" t="str">
        <f aca="false">IF(M30="Fail","Needs Improvement",INDEX('Student Data'!$S$6:$S$11,MATCH(K30*100,'Student Data'!$Q$6:$Q$11,1)))</f>
        <v>Good</v>
      </c>
    </row>
    <row r="31" customFormat="false" ht="15" hidden="false" customHeight="false" outlineLevel="0" collapsed="false">
      <c r="A31" s="12" t="n">
        <v>1030</v>
      </c>
      <c r="B31" s="13" t="s">
        <v>81</v>
      </c>
      <c r="C31" s="12" t="s">
        <v>22</v>
      </c>
      <c r="D31" s="12" t="s">
        <v>43</v>
      </c>
      <c r="E31" s="12" t="n">
        <v>65</v>
      </c>
      <c r="F31" s="12" t="n">
        <v>78</v>
      </c>
      <c r="G31" s="12" t="n">
        <v>76</v>
      </c>
      <c r="H31" s="12" t="n">
        <v>62</v>
      </c>
      <c r="I31" s="12" t="n">
        <v>75</v>
      </c>
      <c r="J31" s="10" t="n">
        <f aca="false">SUM(E31:I31)</f>
        <v>356</v>
      </c>
      <c r="K31" s="11" t="n">
        <f aca="false">IF(COUNT(E31:I31)=0,0,J31/(COUNT(E31:I31)*'Student Data'!$R$2))</f>
        <v>0.712</v>
      </c>
      <c r="L31" s="14" t="str">
        <f aca="false">IF(M31="Fail","F",INDEX('Student Data'!$R$6:$R$11,MATCH(K31*100,'Student Data'!$Q$6:$Q$11,1)))</f>
        <v>B</v>
      </c>
      <c r="M31" s="14" t="str">
        <f aca="false">IF(COUNTIF(E31:I31,"&lt;"&amp;'Student Data'!$R$3)&gt;0,"Fail","Pass")</f>
        <v>Pass</v>
      </c>
      <c r="N31" s="10" t="n">
        <f aca="false">RANK(K31,$K$2:$K$31)+COUNTIF($K$2:K31,K31)-1</f>
        <v>16</v>
      </c>
      <c r="O31" s="15" t="str">
        <f aca="false">IF(M31="Fail","Needs Improvement",INDEX('Student Data'!$S$6:$S$11,MATCH(K31*100,'Student Data'!$Q$6:$Q$11,1)))</f>
        <v>Good</v>
      </c>
    </row>
    <row r="33" customFormat="false" ht="15" hidden="false" customHeight="false" outlineLevel="0" collapsed="false">
      <c r="A33" s="2" t="s">
        <v>82</v>
      </c>
    </row>
  </sheetData>
  <autoFilter ref="A1:O31"/>
  <conditionalFormatting sqref="E2:I31">
    <cfRule type="cellIs" priority="2" operator="lessThan" aboveAverage="0" equalAverage="0" bottom="0" percent="0" rank="0" text="" dxfId="8">
      <formula>'Student Data'!$R$3</formula>
    </cfRule>
  </conditionalFormatting>
  <conditionalFormatting sqref="M2:M31"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"Pass"</formula>
    </cfRule>
  </conditionalFormatting>
  <conditionalFormatting sqref="K2:K31">
    <cfRule type="dataBar" priority="5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{911F7DD1-D390-49A3-A6DB-B585456EEF3B}</x14:id>
        </ext>
      </extLst>
    </cfRule>
  </conditionalFormatting>
  <conditionalFormatting sqref="L2:L31">
    <cfRule type="expression" priority="6" aboveAverage="0" equalAverage="0" bottom="0" percent="0" rank="0" text="" dxfId="10">
      <formula>OR(L2="A+",L2="A")</formula>
    </cfRule>
  </conditionalFormatting>
  <dataValidations count="1">
    <dataValidation allowBlank="true" error="Marks must be between 0 and the maximum marks set on the right of this sheet." errorStyle="stop" errorTitle="Invalid marks" operator="between" showDropDown="false" showErrorMessage="true" showInputMessage="false" sqref="E2:I31" type="whole">
      <formula1>0</formula1>
      <formula2>'Student Data'!$R$2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1F7DD1-D390-49A3-A6DB-B585456EEF3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K2:K31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8" t="s">
        <v>83</v>
      </c>
      <c r="B1" s="18"/>
      <c r="C1" s="18"/>
      <c r="D1" s="18"/>
      <c r="E1" s="18"/>
    </row>
    <row r="3" customFormat="false" ht="15" hidden="false" customHeight="false" outlineLevel="0" collapsed="false">
      <c r="A3" s="19" t="s">
        <v>84</v>
      </c>
      <c r="B3" s="17" t="n">
        <v>1001</v>
      </c>
      <c r="C3" s="2" t="s">
        <v>85</v>
      </c>
    </row>
    <row r="5" customFormat="false" ht="15" hidden="false" customHeight="false" outlineLevel="0" collapsed="false">
      <c r="A5" s="20" t="s">
        <v>29</v>
      </c>
      <c r="B5" s="8" t="str">
        <f aca="false">INDEX('Student Data'!$B$2:$B$31,MATCH($B$3,'Student Data'!$A$2:$A$31,0))</f>
        <v>Aarav Sharma</v>
      </c>
    </row>
    <row r="6" customFormat="false" ht="15" hidden="false" customHeight="false" outlineLevel="0" collapsed="false">
      <c r="A6" s="20" t="s">
        <v>18</v>
      </c>
      <c r="B6" s="8" t="str">
        <f aca="false">INDEX('Student Data'!$C$2:$C$31,MATCH($B$3,'Student Data'!$A$2:$A$31,0))</f>
        <v>A</v>
      </c>
    </row>
    <row r="7" customFormat="false" ht="15" hidden="false" customHeight="false" outlineLevel="0" collapsed="false">
      <c r="A7" s="20" t="s">
        <v>30</v>
      </c>
      <c r="B7" s="8" t="str">
        <f aca="false">INDEX('Student Data'!$D$2:$D$31,MATCH($B$3,'Student Data'!$A$2:$A$31,0))</f>
        <v>M</v>
      </c>
    </row>
    <row r="10" customFormat="false" ht="15" hidden="false" customHeight="false" outlineLevel="0" collapsed="false">
      <c r="A10" s="7" t="s">
        <v>9</v>
      </c>
      <c r="B10" s="7" t="s">
        <v>86</v>
      </c>
      <c r="C10" s="7" t="s">
        <v>87</v>
      </c>
      <c r="D10" s="7" t="s">
        <v>88</v>
      </c>
      <c r="E10" s="7" t="s">
        <v>89</v>
      </c>
    </row>
    <row r="11" customFormat="false" ht="15" hidden="false" customHeight="false" outlineLevel="0" collapsed="false">
      <c r="A11" s="8" t="str">
        <f aca="false">INDEX('Student Data'!$E$1:$I$1,1)</f>
        <v>English</v>
      </c>
      <c r="B11" s="10" t="n">
        <f aca="false">INDEX('Student Data'!$E$2:$I$31,MATCH($B$3,'Student Data'!$A$2:$A$31,0),1)</f>
        <v>64</v>
      </c>
      <c r="C11" s="9" t="n">
        <f aca="false">AVERAGE(INDEX('Student Data'!$E$2:$I$31,0,1))</f>
        <v>70.2333333333333</v>
      </c>
      <c r="D11" s="21" t="n">
        <f aca="false">B11-C11</f>
        <v>-6.23333333333333</v>
      </c>
      <c r="E11" s="14" t="str">
        <f aca="false">IF(B11&gt;='Student Data'!$R$3,"Pass","Fail")</f>
        <v>Pass</v>
      </c>
    </row>
    <row r="12" customFormat="false" ht="15" hidden="false" customHeight="false" outlineLevel="0" collapsed="false">
      <c r="A12" s="8" t="str">
        <f aca="false">INDEX('Student Data'!$E$1:$I$1,2)</f>
        <v>Hindi</v>
      </c>
      <c r="B12" s="10" t="n">
        <f aca="false">INDEX('Student Data'!$E$2:$I$31,MATCH($B$3,'Student Data'!$A$2:$A$31,0),2)</f>
        <v>65</v>
      </c>
      <c r="C12" s="9" t="n">
        <f aca="false">AVERAGE(INDEX('Student Data'!$E$2:$I$31,0,2))</f>
        <v>71.1666666666667</v>
      </c>
      <c r="D12" s="21" t="n">
        <f aca="false">B12-C12</f>
        <v>-6.16666666666667</v>
      </c>
      <c r="E12" s="14" t="str">
        <f aca="false">IF(B12&gt;='Student Data'!$R$3,"Pass","Fail")</f>
        <v>Pass</v>
      </c>
    </row>
    <row r="13" customFormat="false" ht="15" hidden="false" customHeight="false" outlineLevel="0" collapsed="false">
      <c r="A13" s="8" t="str">
        <f aca="false">INDEX('Student Data'!$E$1:$I$1,3)</f>
        <v>Mathematics</v>
      </c>
      <c r="B13" s="10" t="n">
        <f aca="false">INDEX('Student Data'!$E$2:$I$31,MATCH($B$3,'Student Data'!$A$2:$A$31,0),3)</f>
        <v>72</v>
      </c>
      <c r="C13" s="9" t="n">
        <f aca="false">AVERAGE(INDEX('Student Data'!$E$2:$I$31,0,3))</f>
        <v>70.8</v>
      </c>
      <c r="D13" s="21" t="n">
        <f aca="false">B13-C13</f>
        <v>1.2</v>
      </c>
      <c r="E13" s="14" t="str">
        <f aca="false">IF(B13&gt;='Student Data'!$R$3,"Pass","Fail")</f>
        <v>Pass</v>
      </c>
    </row>
    <row r="14" customFormat="false" ht="15" hidden="false" customHeight="false" outlineLevel="0" collapsed="false">
      <c r="A14" s="8" t="str">
        <f aca="false">INDEX('Student Data'!$E$1:$I$1,4)</f>
        <v>Science</v>
      </c>
      <c r="B14" s="10" t="n">
        <f aca="false">INDEX('Student Data'!$E$2:$I$31,MATCH($B$3,'Student Data'!$A$2:$A$31,0),4)</f>
        <v>64</v>
      </c>
      <c r="C14" s="9" t="n">
        <f aca="false">AVERAGE(INDEX('Student Data'!$E$2:$I$31,0,4))</f>
        <v>72.9333333333333</v>
      </c>
      <c r="D14" s="21" t="n">
        <f aca="false">B14-C14</f>
        <v>-8.93333333333334</v>
      </c>
      <c r="E14" s="14" t="str">
        <f aca="false">IF(B14&gt;='Student Data'!$R$3,"Pass","Fail")</f>
        <v>Pass</v>
      </c>
    </row>
    <row r="15" customFormat="false" ht="15" hidden="false" customHeight="false" outlineLevel="0" collapsed="false">
      <c r="A15" s="8" t="str">
        <f aca="false">INDEX('Student Data'!$E$1:$I$1,5)</f>
        <v>Social Science</v>
      </c>
      <c r="B15" s="10" t="n">
        <f aca="false">INDEX('Student Data'!$E$2:$I$31,MATCH($B$3,'Student Data'!$A$2:$A$31,0),5)</f>
        <v>52</v>
      </c>
      <c r="C15" s="9" t="n">
        <f aca="false">AVERAGE(INDEX('Student Data'!$E$2:$I$31,0,5))</f>
        <v>75.0666666666667</v>
      </c>
      <c r="D15" s="21" t="n">
        <f aca="false">B15-C15</f>
        <v>-23.0666666666667</v>
      </c>
      <c r="E15" s="14" t="str">
        <f aca="false">IF(B15&gt;='Student Data'!$R$3,"Pass","Fail")</f>
        <v>Pass</v>
      </c>
    </row>
    <row r="17" customFormat="false" ht="15" hidden="false" customHeight="false" outlineLevel="0" collapsed="false">
      <c r="A17" s="20" t="s">
        <v>90</v>
      </c>
      <c r="B17" s="22" t="n">
        <f aca="false">INDEX('Student Data'!$J$2:$J$31,MATCH($B$3,'Student Data'!$A$2:$A$31,0))</f>
        <v>317</v>
      </c>
    </row>
    <row r="18" customFormat="false" ht="15" hidden="false" customHeight="false" outlineLevel="0" collapsed="false">
      <c r="A18" s="20" t="s">
        <v>27</v>
      </c>
      <c r="B18" s="23" t="n">
        <f aca="false">INDEX('Student Data'!$K$2:$K$31,MATCH($B$3,'Student Data'!$A$2:$A$31,0))</f>
        <v>0.634</v>
      </c>
    </row>
    <row r="19" customFormat="false" ht="15" hidden="false" customHeight="false" outlineLevel="0" collapsed="false">
      <c r="A19" s="20" t="s">
        <v>14</v>
      </c>
      <c r="B19" s="24" t="str">
        <f aca="false">INDEX('Student Data'!$L$2:$L$31,MATCH($B$3,'Student Data'!$A$2:$A$31,0))</f>
        <v>B</v>
      </c>
    </row>
    <row r="20" customFormat="false" ht="15" hidden="false" customHeight="false" outlineLevel="0" collapsed="false">
      <c r="A20" s="20" t="s">
        <v>36</v>
      </c>
      <c r="B20" s="24" t="str">
        <f aca="false">INDEX('Student Data'!$M$2:$M$31,MATCH($B$3,'Student Data'!$A$2:$A$31,0))</f>
        <v>Pass</v>
      </c>
    </row>
    <row r="21" customFormat="false" ht="15" hidden="false" customHeight="false" outlineLevel="0" collapsed="false">
      <c r="A21" s="20" t="s">
        <v>91</v>
      </c>
      <c r="B21" s="24" t="str">
        <f aca="false">INDEX('Student Data'!$N$2:$N$31,MATCH($B$3,'Student Data'!$A$2:$A$31,0))&amp;" of "&amp;COUNTA('Student Data'!$A$2:$A$31)</f>
        <v>25 of 30</v>
      </c>
    </row>
    <row r="22" customFormat="false" ht="15" hidden="false" customHeight="false" outlineLevel="0" collapsed="false">
      <c r="A22" s="20" t="s">
        <v>37</v>
      </c>
      <c r="B22" s="24" t="str">
        <f aca="false">INDEX('Student Data'!$O$2:$O$31,MATCH($B$3,'Student Data'!$A$2:$A$31,0))</f>
        <v>Good</v>
      </c>
    </row>
  </sheetData>
  <mergeCells count="1">
    <mergeCell ref="A1:E1"/>
  </mergeCells>
  <conditionalFormatting sqref="E11:E15">
    <cfRule type="cellIs" priority="2" operator="equal" aboveAverage="0" equalAverage="0" bottom="0" percent="0" rank="0" text="" dxfId="8">
      <formula>"Fail"</formula>
    </cfRule>
    <cfRule type="cellIs" priority="3" operator="equal" aboveAverage="0" equalAverage="0" bottom="0" percent="0" rank="0" text="" dxfId="9">
      <formula>"Pass"</formula>
    </cfRule>
  </conditionalFormatting>
  <conditionalFormatting sqref="B20">
    <cfRule type="cellIs" priority="4" operator="equal" aboveAverage="0" equalAverage="0" bottom="0" percent="0" rank="0" text="" dxfId="8">
      <formula>"Fail"</formula>
    </cfRule>
    <cfRule type="cellIs" priority="5" operator="equal" aboveAverage="0" equalAverage="0" bottom="0" percent="0" rank="0" text="" dxfId="11">
      <formula>"Pass"</formula>
    </cfRule>
  </conditionalFormatting>
  <dataValidations count="1">
    <dataValidation allowBlank="false" errorStyle="stop" operator="between" showDropDown="false" showErrorMessage="false" showInputMessage="false" sqref="B3" type="list">
      <formula1>'Student Data'!$A$2:$A$31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2026-10-07T15:33:44Z</dcterms:created>
  <dc:creator>openpyxl</dc:creator>
  <dc:description/>
  <dc:language>en-US</dc:language>
  <cp:lastModifiedBy/>
  <dcterms:modified xsi:type="dcterms:W3CDTF">2026-10-07T15:33:46Z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